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singh\Downloads\"/>
    </mc:Choice>
  </mc:AlternateContent>
  <xr:revisionPtr revIDLastSave="0" documentId="8_{C43F507D-78DA-46A1-939E-2D185F139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Sheet1!$A$1:$U$301</definedName>
  </definedNames>
  <calcPr calcId="191029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2" i="1"/>
  <c r="AA3" i="1"/>
  <c r="AA4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2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D203" i="1"/>
  <c r="E203" i="1" s="1"/>
  <c r="D204" i="1"/>
  <c r="E204" i="1" s="1"/>
  <c r="D205" i="1"/>
  <c r="E205" i="1" s="1"/>
  <c r="D206" i="1"/>
  <c r="E206" i="1" s="1"/>
  <c r="D207" i="1"/>
  <c r="E207" i="1" s="1"/>
  <c r="D208" i="1"/>
  <c r="E208" i="1" s="1"/>
  <c r="D209" i="1"/>
  <c r="E209" i="1" s="1"/>
  <c r="D210" i="1"/>
  <c r="E210" i="1" s="1"/>
  <c r="D211" i="1"/>
  <c r="E211" i="1" s="1"/>
  <c r="D212" i="1"/>
  <c r="E212" i="1" s="1"/>
  <c r="D213" i="1"/>
  <c r="E213" i="1" s="1"/>
  <c r="D214" i="1"/>
  <c r="E214" i="1" s="1"/>
  <c r="D215" i="1"/>
  <c r="E215" i="1" s="1"/>
  <c r="D216" i="1"/>
  <c r="E216" i="1" s="1"/>
  <c r="D217" i="1"/>
  <c r="E217" i="1" s="1"/>
  <c r="D218" i="1"/>
  <c r="E218" i="1" s="1"/>
  <c r="D219" i="1"/>
  <c r="E219" i="1" s="1"/>
  <c r="D220" i="1"/>
  <c r="E220" i="1" s="1"/>
  <c r="D221" i="1"/>
  <c r="E221" i="1" s="1"/>
  <c r="D222" i="1"/>
  <c r="E222" i="1" s="1"/>
  <c r="D223" i="1"/>
  <c r="E223" i="1" s="1"/>
  <c r="D224" i="1"/>
  <c r="E224" i="1" s="1"/>
  <c r="D225" i="1"/>
  <c r="E225" i="1" s="1"/>
  <c r="D226" i="1"/>
  <c r="E226" i="1" s="1"/>
  <c r="D227" i="1"/>
  <c r="E227" i="1" s="1"/>
  <c r="D228" i="1"/>
  <c r="E228" i="1" s="1"/>
  <c r="D229" i="1"/>
  <c r="E229" i="1" s="1"/>
  <c r="D230" i="1"/>
  <c r="E230" i="1" s="1"/>
  <c r="D231" i="1"/>
  <c r="E231" i="1" s="1"/>
  <c r="D232" i="1"/>
  <c r="E232" i="1" s="1"/>
  <c r="D233" i="1"/>
  <c r="E233" i="1" s="1"/>
  <c r="D234" i="1"/>
  <c r="E234" i="1" s="1"/>
  <c r="D235" i="1"/>
  <c r="E235" i="1" s="1"/>
  <c r="D236" i="1"/>
  <c r="E236" i="1" s="1"/>
  <c r="D237" i="1"/>
  <c r="E237" i="1" s="1"/>
  <c r="D238" i="1"/>
  <c r="E238" i="1" s="1"/>
  <c r="D239" i="1"/>
  <c r="E239" i="1" s="1"/>
  <c r="D240" i="1"/>
  <c r="E240" i="1" s="1"/>
  <c r="D241" i="1"/>
  <c r="E241" i="1" s="1"/>
  <c r="D242" i="1"/>
  <c r="E242" i="1" s="1"/>
  <c r="D243" i="1"/>
  <c r="E243" i="1" s="1"/>
  <c r="D244" i="1"/>
  <c r="E244" i="1" s="1"/>
  <c r="D245" i="1"/>
  <c r="E245" i="1" s="1"/>
  <c r="D246" i="1"/>
  <c r="E246" i="1" s="1"/>
  <c r="D247" i="1"/>
  <c r="E247" i="1" s="1"/>
  <c r="D248" i="1"/>
  <c r="E248" i="1" s="1"/>
  <c r="D249" i="1"/>
  <c r="E249" i="1" s="1"/>
  <c r="D250" i="1"/>
  <c r="E250" i="1" s="1"/>
  <c r="D251" i="1"/>
  <c r="E251" i="1" s="1"/>
  <c r="D252" i="1"/>
  <c r="E252" i="1" s="1"/>
  <c r="D253" i="1"/>
  <c r="E253" i="1" s="1"/>
  <c r="D254" i="1"/>
  <c r="E254" i="1" s="1"/>
  <c r="D255" i="1"/>
  <c r="E255" i="1" s="1"/>
  <c r="D256" i="1"/>
  <c r="E256" i="1" s="1"/>
  <c r="D257" i="1"/>
  <c r="E257" i="1" s="1"/>
  <c r="D258" i="1"/>
  <c r="E258" i="1" s="1"/>
  <c r="D259" i="1"/>
  <c r="E259" i="1" s="1"/>
  <c r="D260" i="1"/>
  <c r="E260" i="1" s="1"/>
  <c r="D261" i="1"/>
  <c r="E261" i="1" s="1"/>
  <c r="D262" i="1"/>
  <c r="E262" i="1" s="1"/>
  <c r="D263" i="1"/>
  <c r="E263" i="1" s="1"/>
  <c r="D264" i="1"/>
  <c r="E264" i="1" s="1"/>
  <c r="D265" i="1"/>
  <c r="E265" i="1" s="1"/>
  <c r="D266" i="1"/>
  <c r="E266" i="1" s="1"/>
  <c r="D267" i="1"/>
  <c r="E267" i="1" s="1"/>
  <c r="D268" i="1"/>
  <c r="E268" i="1" s="1"/>
  <c r="D269" i="1"/>
  <c r="E269" i="1" s="1"/>
  <c r="D270" i="1"/>
  <c r="E270" i="1" s="1"/>
  <c r="D271" i="1"/>
  <c r="E271" i="1" s="1"/>
  <c r="D272" i="1"/>
  <c r="E272" i="1" s="1"/>
  <c r="D273" i="1"/>
  <c r="E273" i="1" s="1"/>
  <c r="D274" i="1"/>
  <c r="E274" i="1" s="1"/>
  <c r="D275" i="1"/>
  <c r="E275" i="1" s="1"/>
  <c r="D276" i="1"/>
  <c r="E276" i="1" s="1"/>
  <c r="D277" i="1"/>
  <c r="E277" i="1" s="1"/>
  <c r="D278" i="1"/>
  <c r="E278" i="1" s="1"/>
  <c r="D279" i="1"/>
  <c r="E279" i="1" s="1"/>
  <c r="D280" i="1"/>
  <c r="E280" i="1" s="1"/>
  <c r="D281" i="1"/>
  <c r="E281" i="1" s="1"/>
  <c r="D282" i="1"/>
  <c r="E282" i="1" s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E288" i="1" s="1"/>
  <c r="D289" i="1"/>
  <c r="E289" i="1" s="1"/>
  <c r="D290" i="1"/>
  <c r="E290" i="1" s="1"/>
  <c r="D291" i="1"/>
  <c r="E291" i="1" s="1"/>
  <c r="D292" i="1"/>
  <c r="E292" i="1" s="1"/>
  <c r="D293" i="1"/>
  <c r="E293" i="1" s="1"/>
  <c r="D294" i="1"/>
  <c r="E294" i="1" s="1"/>
  <c r="D295" i="1"/>
  <c r="E295" i="1" s="1"/>
  <c r="D296" i="1"/>
  <c r="E296" i="1" s="1"/>
  <c r="D297" i="1"/>
  <c r="E297" i="1" s="1"/>
  <c r="D298" i="1"/>
  <c r="E298" i="1" s="1"/>
  <c r="D299" i="1"/>
  <c r="E299" i="1" s="1"/>
  <c r="D300" i="1"/>
  <c r="E300" i="1" s="1"/>
  <c r="D301" i="1"/>
  <c r="E301" i="1" s="1"/>
  <c r="D2" i="1"/>
  <c r="E2" i="1" s="1"/>
  <c r="AD6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2" i="1"/>
  <c r="H3" i="1"/>
  <c r="J3" i="1" s="1"/>
  <c r="H4" i="1"/>
  <c r="J4" i="1" s="1"/>
  <c r="H5" i="1"/>
  <c r="J5" i="1" s="1"/>
  <c r="H6" i="1"/>
  <c r="J6" i="1" s="1"/>
  <c r="H7" i="1"/>
  <c r="I7" i="1" s="1"/>
  <c r="H8" i="1"/>
  <c r="I8" i="1" s="1"/>
  <c r="H9" i="1"/>
  <c r="I9" i="1" s="1"/>
  <c r="H10" i="1"/>
  <c r="I10" i="1" s="1"/>
  <c r="H11" i="1"/>
  <c r="J11" i="1" s="1"/>
  <c r="H12" i="1"/>
  <c r="J12" i="1" s="1"/>
  <c r="H13" i="1"/>
  <c r="J13" i="1" s="1"/>
  <c r="H14" i="1"/>
  <c r="J14" i="1" s="1"/>
  <c r="H15" i="1"/>
  <c r="I15" i="1" s="1"/>
  <c r="H16" i="1"/>
  <c r="I16" i="1" s="1"/>
  <c r="H17" i="1"/>
  <c r="I17" i="1" s="1"/>
  <c r="H18" i="1"/>
  <c r="I18" i="1" s="1"/>
  <c r="H19" i="1"/>
  <c r="J19" i="1" s="1"/>
  <c r="H20" i="1"/>
  <c r="J20" i="1" s="1"/>
  <c r="H21" i="1"/>
  <c r="J21" i="1" s="1"/>
  <c r="H22" i="1"/>
  <c r="J22" i="1" s="1"/>
  <c r="H23" i="1"/>
  <c r="I23" i="1" s="1"/>
  <c r="H24" i="1"/>
  <c r="I24" i="1" s="1"/>
  <c r="H25" i="1"/>
  <c r="I25" i="1" s="1"/>
  <c r="H26" i="1"/>
  <c r="I26" i="1" s="1"/>
  <c r="H27" i="1"/>
  <c r="J27" i="1" s="1"/>
  <c r="H28" i="1"/>
  <c r="J28" i="1" s="1"/>
  <c r="H29" i="1"/>
  <c r="J29" i="1" s="1"/>
  <c r="H30" i="1"/>
  <c r="J30" i="1" s="1"/>
  <c r="H31" i="1"/>
  <c r="I31" i="1" s="1"/>
  <c r="H32" i="1"/>
  <c r="I32" i="1" s="1"/>
  <c r="H33" i="1"/>
  <c r="I33" i="1" s="1"/>
  <c r="H34" i="1"/>
  <c r="I34" i="1" s="1"/>
  <c r="H35" i="1"/>
  <c r="J35" i="1" s="1"/>
  <c r="H36" i="1"/>
  <c r="J36" i="1" s="1"/>
  <c r="H37" i="1"/>
  <c r="J37" i="1" s="1"/>
  <c r="H38" i="1"/>
  <c r="J38" i="1" s="1"/>
  <c r="H39" i="1"/>
  <c r="I39" i="1" s="1"/>
  <c r="H40" i="1"/>
  <c r="I40" i="1" s="1"/>
  <c r="H41" i="1"/>
  <c r="I41" i="1" s="1"/>
  <c r="H42" i="1"/>
  <c r="I42" i="1" s="1"/>
  <c r="H43" i="1"/>
  <c r="J43" i="1" s="1"/>
  <c r="H44" i="1"/>
  <c r="J44" i="1" s="1"/>
  <c r="H45" i="1"/>
  <c r="J45" i="1" s="1"/>
  <c r="H46" i="1"/>
  <c r="J46" i="1" s="1"/>
  <c r="H47" i="1"/>
  <c r="I47" i="1" s="1"/>
  <c r="H48" i="1"/>
  <c r="I48" i="1" s="1"/>
  <c r="H49" i="1"/>
  <c r="I49" i="1" s="1"/>
  <c r="H50" i="1"/>
  <c r="I50" i="1" s="1"/>
  <c r="H51" i="1"/>
  <c r="J51" i="1" s="1"/>
  <c r="H52" i="1"/>
  <c r="J52" i="1" s="1"/>
  <c r="H53" i="1"/>
  <c r="J53" i="1" s="1"/>
  <c r="H54" i="1"/>
  <c r="J54" i="1" s="1"/>
  <c r="H55" i="1"/>
  <c r="I55" i="1" s="1"/>
  <c r="H56" i="1"/>
  <c r="I56" i="1" s="1"/>
  <c r="H57" i="1"/>
  <c r="I57" i="1" s="1"/>
  <c r="H58" i="1"/>
  <c r="I58" i="1" s="1"/>
  <c r="H59" i="1"/>
  <c r="J59" i="1" s="1"/>
  <c r="H60" i="1"/>
  <c r="J60" i="1" s="1"/>
  <c r="H61" i="1"/>
  <c r="J61" i="1" s="1"/>
  <c r="H62" i="1"/>
  <c r="J62" i="1" s="1"/>
  <c r="H63" i="1"/>
  <c r="I63" i="1" s="1"/>
  <c r="H64" i="1"/>
  <c r="I64" i="1" s="1"/>
  <c r="H65" i="1"/>
  <c r="I65" i="1" s="1"/>
  <c r="H66" i="1"/>
  <c r="I66" i="1" s="1"/>
  <c r="H67" i="1"/>
  <c r="J67" i="1" s="1"/>
  <c r="H68" i="1"/>
  <c r="J68" i="1" s="1"/>
  <c r="H69" i="1"/>
  <c r="J69" i="1" s="1"/>
  <c r="H70" i="1"/>
  <c r="J70" i="1" s="1"/>
  <c r="H71" i="1"/>
  <c r="I71" i="1" s="1"/>
  <c r="H72" i="1"/>
  <c r="I72" i="1" s="1"/>
  <c r="H73" i="1"/>
  <c r="I73" i="1" s="1"/>
  <c r="H74" i="1"/>
  <c r="I74" i="1" s="1"/>
  <c r="H75" i="1"/>
  <c r="J75" i="1" s="1"/>
  <c r="H76" i="1"/>
  <c r="J76" i="1" s="1"/>
  <c r="H77" i="1"/>
  <c r="J77" i="1" s="1"/>
  <c r="H78" i="1"/>
  <c r="J78" i="1" s="1"/>
  <c r="H79" i="1"/>
  <c r="I79" i="1" s="1"/>
  <c r="H80" i="1"/>
  <c r="I80" i="1" s="1"/>
  <c r="H81" i="1"/>
  <c r="I81" i="1" s="1"/>
  <c r="H82" i="1"/>
  <c r="I82" i="1" s="1"/>
  <c r="H83" i="1"/>
  <c r="J83" i="1" s="1"/>
  <c r="H84" i="1"/>
  <c r="J84" i="1" s="1"/>
  <c r="H85" i="1"/>
  <c r="J85" i="1" s="1"/>
  <c r="H86" i="1"/>
  <c r="J86" i="1" s="1"/>
  <c r="H87" i="1"/>
  <c r="I87" i="1" s="1"/>
  <c r="H88" i="1"/>
  <c r="I88" i="1" s="1"/>
  <c r="H89" i="1"/>
  <c r="I89" i="1" s="1"/>
  <c r="H90" i="1"/>
  <c r="I90" i="1" s="1"/>
  <c r="H91" i="1"/>
  <c r="J91" i="1" s="1"/>
  <c r="H92" i="1"/>
  <c r="J92" i="1" s="1"/>
  <c r="H93" i="1"/>
  <c r="J93" i="1" s="1"/>
  <c r="H94" i="1"/>
  <c r="J94" i="1" s="1"/>
  <c r="H95" i="1"/>
  <c r="I95" i="1" s="1"/>
  <c r="H96" i="1"/>
  <c r="I96" i="1" s="1"/>
  <c r="H97" i="1"/>
  <c r="I97" i="1" s="1"/>
  <c r="H98" i="1"/>
  <c r="I98" i="1" s="1"/>
  <c r="H99" i="1"/>
  <c r="J99" i="1" s="1"/>
  <c r="H100" i="1"/>
  <c r="J100" i="1" s="1"/>
  <c r="H101" i="1"/>
  <c r="J101" i="1" s="1"/>
  <c r="H102" i="1"/>
  <c r="J102" i="1" s="1"/>
  <c r="H103" i="1"/>
  <c r="I103" i="1" s="1"/>
  <c r="H104" i="1"/>
  <c r="I104" i="1" s="1"/>
  <c r="H105" i="1"/>
  <c r="I105" i="1" s="1"/>
  <c r="H106" i="1"/>
  <c r="I106" i="1" s="1"/>
  <c r="H107" i="1"/>
  <c r="J107" i="1" s="1"/>
  <c r="H108" i="1"/>
  <c r="J108" i="1" s="1"/>
  <c r="H109" i="1"/>
  <c r="J109" i="1" s="1"/>
  <c r="H110" i="1"/>
  <c r="J110" i="1" s="1"/>
  <c r="H111" i="1"/>
  <c r="I111" i="1" s="1"/>
  <c r="H112" i="1"/>
  <c r="I112" i="1" s="1"/>
  <c r="H113" i="1"/>
  <c r="I113" i="1" s="1"/>
  <c r="H114" i="1"/>
  <c r="I114" i="1" s="1"/>
  <c r="H115" i="1"/>
  <c r="J115" i="1" s="1"/>
  <c r="H116" i="1"/>
  <c r="J116" i="1" s="1"/>
  <c r="H117" i="1"/>
  <c r="J117" i="1" s="1"/>
  <c r="H118" i="1"/>
  <c r="J118" i="1" s="1"/>
  <c r="H119" i="1"/>
  <c r="I119" i="1" s="1"/>
  <c r="H120" i="1"/>
  <c r="I120" i="1" s="1"/>
  <c r="H121" i="1"/>
  <c r="I121" i="1" s="1"/>
  <c r="H122" i="1"/>
  <c r="I122" i="1" s="1"/>
  <c r="H123" i="1"/>
  <c r="J123" i="1" s="1"/>
  <c r="H124" i="1"/>
  <c r="J124" i="1" s="1"/>
  <c r="H125" i="1"/>
  <c r="J125" i="1" s="1"/>
  <c r="H126" i="1"/>
  <c r="J126" i="1" s="1"/>
  <c r="H127" i="1"/>
  <c r="I127" i="1" s="1"/>
  <c r="H128" i="1"/>
  <c r="I128" i="1" s="1"/>
  <c r="H129" i="1"/>
  <c r="I129" i="1" s="1"/>
  <c r="H130" i="1"/>
  <c r="I130" i="1" s="1"/>
  <c r="H131" i="1"/>
  <c r="J131" i="1" s="1"/>
  <c r="H132" i="1"/>
  <c r="J132" i="1" s="1"/>
  <c r="H133" i="1"/>
  <c r="J133" i="1" s="1"/>
  <c r="H134" i="1"/>
  <c r="J134" i="1" s="1"/>
  <c r="H135" i="1"/>
  <c r="I135" i="1" s="1"/>
  <c r="H136" i="1"/>
  <c r="I136" i="1" s="1"/>
  <c r="H137" i="1"/>
  <c r="I137" i="1" s="1"/>
  <c r="H138" i="1"/>
  <c r="I138" i="1" s="1"/>
  <c r="H139" i="1"/>
  <c r="J139" i="1" s="1"/>
  <c r="H140" i="1"/>
  <c r="J140" i="1" s="1"/>
  <c r="H141" i="1"/>
  <c r="J141" i="1" s="1"/>
  <c r="H142" i="1"/>
  <c r="J142" i="1" s="1"/>
  <c r="H143" i="1"/>
  <c r="I143" i="1" s="1"/>
  <c r="H144" i="1"/>
  <c r="I144" i="1" s="1"/>
  <c r="H145" i="1"/>
  <c r="I145" i="1" s="1"/>
  <c r="H146" i="1"/>
  <c r="I146" i="1" s="1"/>
  <c r="H147" i="1"/>
  <c r="J147" i="1" s="1"/>
  <c r="H148" i="1"/>
  <c r="J148" i="1" s="1"/>
  <c r="H149" i="1"/>
  <c r="J149" i="1" s="1"/>
  <c r="H150" i="1"/>
  <c r="J150" i="1" s="1"/>
  <c r="H151" i="1"/>
  <c r="I151" i="1" s="1"/>
  <c r="H152" i="1"/>
  <c r="I152" i="1" s="1"/>
  <c r="H153" i="1"/>
  <c r="I153" i="1" s="1"/>
  <c r="H154" i="1"/>
  <c r="I154" i="1" s="1"/>
  <c r="H155" i="1"/>
  <c r="J155" i="1" s="1"/>
  <c r="H156" i="1"/>
  <c r="J156" i="1" s="1"/>
  <c r="H157" i="1"/>
  <c r="J157" i="1" s="1"/>
  <c r="H158" i="1"/>
  <c r="J158" i="1" s="1"/>
  <c r="H159" i="1"/>
  <c r="I159" i="1" s="1"/>
  <c r="H160" i="1"/>
  <c r="I160" i="1" s="1"/>
  <c r="H161" i="1"/>
  <c r="I161" i="1" s="1"/>
  <c r="H162" i="1"/>
  <c r="I162" i="1" s="1"/>
  <c r="H163" i="1"/>
  <c r="J163" i="1" s="1"/>
  <c r="H164" i="1"/>
  <c r="J164" i="1" s="1"/>
  <c r="H165" i="1"/>
  <c r="J165" i="1" s="1"/>
  <c r="H166" i="1"/>
  <c r="J166" i="1" s="1"/>
  <c r="H167" i="1"/>
  <c r="I167" i="1" s="1"/>
  <c r="H168" i="1"/>
  <c r="I168" i="1" s="1"/>
  <c r="H169" i="1"/>
  <c r="I169" i="1" s="1"/>
  <c r="H170" i="1"/>
  <c r="I170" i="1" s="1"/>
  <c r="H171" i="1"/>
  <c r="J171" i="1" s="1"/>
  <c r="H172" i="1"/>
  <c r="J172" i="1" s="1"/>
  <c r="H173" i="1"/>
  <c r="J173" i="1" s="1"/>
  <c r="H174" i="1"/>
  <c r="J174" i="1" s="1"/>
  <c r="H175" i="1"/>
  <c r="I175" i="1" s="1"/>
  <c r="H176" i="1"/>
  <c r="I176" i="1" s="1"/>
  <c r="H177" i="1"/>
  <c r="I177" i="1" s="1"/>
  <c r="H178" i="1"/>
  <c r="I178" i="1" s="1"/>
  <c r="H179" i="1"/>
  <c r="J179" i="1" s="1"/>
  <c r="H180" i="1"/>
  <c r="J180" i="1" s="1"/>
  <c r="H181" i="1"/>
  <c r="J181" i="1" s="1"/>
  <c r="H182" i="1"/>
  <c r="J182" i="1" s="1"/>
  <c r="H183" i="1"/>
  <c r="I183" i="1" s="1"/>
  <c r="H184" i="1"/>
  <c r="I184" i="1" s="1"/>
  <c r="H185" i="1"/>
  <c r="I185" i="1" s="1"/>
  <c r="H186" i="1"/>
  <c r="I186" i="1" s="1"/>
  <c r="H187" i="1"/>
  <c r="J187" i="1" s="1"/>
  <c r="H188" i="1"/>
  <c r="J188" i="1" s="1"/>
  <c r="H189" i="1"/>
  <c r="J189" i="1" s="1"/>
  <c r="H190" i="1"/>
  <c r="J190" i="1" s="1"/>
  <c r="H191" i="1"/>
  <c r="I191" i="1" s="1"/>
  <c r="H192" i="1"/>
  <c r="I192" i="1" s="1"/>
  <c r="H193" i="1"/>
  <c r="I193" i="1" s="1"/>
  <c r="H194" i="1"/>
  <c r="I194" i="1" s="1"/>
  <c r="H195" i="1"/>
  <c r="J195" i="1" s="1"/>
  <c r="H196" i="1"/>
  <c r="J196" i="1" s="1"/>
  <c r="H197" i="1"/>
  <c r="J197" i="1" s="1"/>
  <c r="H198" i="1"/>
  <c r="J198" i="1" s="1"/>
  <c r="H199" i="1"/>
  <c r="I199" i="1" s="1"/>
  <c r="H200" i="1"/>
  <c r="I200" i="1" s="1"/>
  <c r="H201" i="1"/>
  <c r="I201" i="1" s="1"/>
  <c r="H202" i="1"/>
  <c r="I202" i="1" s="1"/>
  <c r="H203" i="1"/>
  <c r="J203" i="1" s="1"/>
  <c r="H204" i="1"/>
  <c r="J204" i="1" s="1"/>
  <c r="H205" i="1"/>
  <c r="J205" i="1" s="1"/>
  <c r="H206" i="1"/>
  <c r="J206" i="1" s="1"/>
  <c r="H207" i="1"/>
  <c r="I207" i="1" s="1"/>
  <c r="H208" i="1"/>
  <c r="I208" i="1" s="1"/>
  <c r="H209" i="1"/>
  <c r="I209" i="1" s="1"/>
  <c r="H210" i="1"/>
  <c r="I210" i="1" s="1"/>
  <c r="H211" i="1"/>
  <c r="J211" i="1" s="1"/>
  <c r="H212" i="1"/>
  <c r="J212" i="1" s="1"/>
  <c r="H213" i="1"/>
  <c r="J213" i="1" s="1"/>
  <c r="H214" i="1"/>
  <c r="J214" i="1" s="1"/>
  <c r="H215" i="1"/>
  <c r="I215" i="1" s="1"/>
  <c r="H216" i="1"/>
  <c r="I216" i="1" s="1"/>
  <c r="H217" i="1"/>
  <c r="I217" i="1" s="1"/>
  <c r="H218" i="1"/>
  <c r="I218" i="1" s="1"/>
  <c r="H219" i="1"/>
  <c r="J219" i="1" s="1"/>
  <c r="H220" i="1"/>
  <c r="J220" i="1" s="1"/>
  <c r="H221" i="1"/>
  <c r="J221" i="1" s="1"/>
  <c r="H222" i="1"/>
  <c r="J222" i="1" s="1"/>
  <c r="H223" i="1"/>
  <c r="I223" i="1" s="1"/>
  <c r="H224" i="1"/>
  <c r="I224" i="1" s="1"/>
  <c r="H225" i="1"/>
  <c r="I225" i="1" s="1"/>
  <c r="H226" i="1"/>
  <c r="I226" i="1" s="1"/>
  <c r="H227" i="1"/>
  <c r="J227" i="1" s="1"/>
  <c r="H228" i="1"/>
  <c r="J228" i="1" s="1"/>
  <c r="H229" i="1"/>
  <c r="J229" i="1" s="1"/>
  <c r="H230" i="1"/>
  <c r="J230" i="1" s="1"/>
  <c r="H231" i="1"/>
  <c r="I231" i="1" s="1"/>
  <c r="H232" i="1"/>
  <c r="I232" i="1" s="1"/>
  <c r="H233" i="1"/>
  <c r="I233" i="1" s="1"/>
  <c r="H234" i="1"/>
  <c r="I234" i="1" s="1"/>
  <c r="H235" i="1"/>
  <c r="J235" i="1" s="1"/>
  <c r="H236" i="1"/>
  <c r="J236" i="1" s="1"/>
  <c r="H237" i="1"/>
  <c r="J237" i="1" s="1"/>
  <c r="H238" i="1"/>
  <c r="J238" i="1" s="1"/>
  <c r="H239" i="1"/>
  <c r="I239" i="1" s="1"/>
  <c r="H240" i="1"/>
  <c r="I240" i="1" s="1"/>
  <c r="H241" i="1"/>
  <c r="I241" i="1" s="1"/>
  <c r="H242" i="1"/>
  <c r="I242" i="1" s="1"/>
  <c r="H243" i="1"/>
  <c r="J243" i="1" s="1"/>
  <c r="H244" i="1"/>
  <c r="J244" i="1" s="1"/>
  <c r="H245" i="1"/>
  <c r="J245" i="1" s="1"/>
  <c r="H246" i="1"/>
  <c r="J246" i="1" s="1"/>
  <c r="H247" i="1"/>
  <c r="I247" i="1" s="1"/>
  <c r="H248" i="1"/>
  <c r="I248" i="1" s="1"/>
  <c r="H249" i="1"/>
  <c r="I249" i="1" s="1"/>
  <c r="H250" i="1"/>
  <c r="I250" i="1" s="1"/>
  <c r="H251" i="1"/>
  <c r="J251" i="1" s="1"/>
  <c r="H252" i="1"/>
  <c r="J252" i="1" s="1"/>
  <c r="H253" i="1"/>
  <c r="J253" i="1" s="1"/>
  <c r="H254" i="1"/>
  <c r="J254" i="1" s="1"/>
  <c r="H255" i="1"/>
  <c r="I255" i="1" s="1"/>
  <c r="H256" i="1"/>
  <c r="I256" i="1" s="1"/>
  <c r="H257" i="1"/>
  <c r="I257" i="1" s="1"/>
  <c r="H258" i="1"/>
  <c r="I258" i="1" s="1"/>
  <c r="H259" i="1"/>
  <c r="J259" i="1" s="1"/>
  <c r="H260" i="1"/>
  <c r="J260" i="1" s="1"/>
  <c r="H261" i="1"/>
  <c r="J261" i="1" s="1"/>
  <c r="H262" i="1"/>
  <c r="J262" i="1" s="1"/>
  <c r="H263" i="1"/>
  <c r="I263" i="1" s="1"/>
  <c r="H264" i="1"/>
  <c r="I264" i="1" s="1"/>
  <c r="H265" i="1"/>
  <c r="I265" i="1" s="1"/>
  <c r="H266" i="1"/>
  <c r="I266" i="1" s="1"/>
  <c r="H267" i="1"/>
  <c r="J267" i="1" s="1"/>
  <c r="H268" i="1"/>
  <c r="J268" i="1" s="1"/>
  <c r="H269" i="1"/>
  <c r="J269" i="1" s="1"/>
  <c r="H270" i="1"/>
  <c r="J270" i="1" s="1"/>
  <c r="H271" i="1"/>
  <c r="I271" i="1" s="1"/>
  <c r="H272" i="1"/>
  <c r="I272" i="1" s="1"/>
  <c r="H273" i="1"/>
  <c r="I273" i="1" s="1"/>
  <c r="H274" i="1"/>
  <c r="I274" i="1" s="1"/>
  <c r="H275" i="1"/>
  <c r="J275" i="1" s="1"/>
  <c r="H276" i="1"/>
  <c r="J276" i="1" s="1"/>
  <c r="H277" i="1"/>
  <c r="J277" i="1" s="1"/>
  <c r="H278" i="1"/>
  <c r="J278" i="1" s="1"/>
  <c r="H279" i="1"/>
  <c r="I279" i="1" s="1"/>
  <c r="H280" i="1"/>
  <c r="I280" i="1" s="1"/>
  <c r="H281" i="1"/>
  <c r="I281" i="1" s="1"/>
  <c r="H282" i="1"/>
  <c r="I282" i="1" s="1"/>
  <c r="H283" i="1"/>
  <c r="J283" i="1" s="1"/>
  <c r="H284" i="1"/>
  <c r="J284" i="1" s="1"/>
  <c r="H285" i="1"/>
  <c r="J285" i="1" s="1"/>
  <c r="H286" i="1"/>
  <c r="J286" i="1" s="1"/>
  <c r="H287" i="1"/>
  <c r="I287" i="1" s="1"/>
  <c r="H288" i="1"/>
  <c r="I288" i="1" s="1"/>
  <c r="H289" i="1"/>
  <c r="I289" i="1" s="1"/>
  <c r="H290" i="1"/>
  <c r="I290" i="1" s="1"/>
  <c r="H291" i="1"/>
  <c r="J291" i="1" s="1"/>
  <c r="H292" i="1"/>
  <c r="J292" i="1" s="1"/>
  <c r="H293" i="1"/>
  <c r="J293" i="1" s="1"/>
  <c r="H294" i="1"/>
  <c r="J294" i="1" s="1"/>
  <c r="H295" i="1"/>
  <c r="I295" i="1" s="1"/>
  <c r="H296" i="1"/>
  <c r="I296" i="1" s="1"/>
  <c r="H297" i="1"/>
  <c r="I297" i="1" s="1"/>
  <c r="H298" i="1"/>
  <c r="I298" i="1" s="1"/>
  <c r="H299" i="1"/>
  <c r="J299" i="1" s="1"/>
  <c r="H300" i="1"/>
  <c r="J300" i="1" s="1"/>
  <c r="H301" i="1"/>
  <c r="J301" i="1" s="1"/>
  <c r="H2" i="1"/>
  <c r="J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2" i="1"/>
  <c r="AD12" i="1"/>
  <c r="AD5" i="1"/>
  <c r="I2" i="1" l="1"/>
  <c r="I294" i="1"/>
  <c r="I286" i="1"/>
  <c r="I278" i="1"/>
  <c r="I270" i="1"/>
  <c r="I262" i="1"/>
  <c r="I254" i="1"/>
  <c r="I246" i="1"/>
  <c r="I238" i="1"/>
  <c r="I230" i="1"/>
  <c r="I222" i="1"/>
  <c r="I214" i="1"/>
  <c r="I206" i="1"/>
  <c r="I19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78" i="1"/>
  <c r="I70" i="1"/>
  <c r="I62" i="1"/>
  <c r="I54" i="1"/>
  <c r="I46" i="1"/>
  <c r="I38" i="1"/>
  <c r="I30" i="1"/>
  <c r="I22" i="1"/>
  <c r="I14" i="1"/>
  <c r="I6" i="1"/>
  <c r="J298" i="1"/>
  <c r="J290" i="1"/>
  <c r="J282" i="1"/>
  <c r="J274" i="1"/>
  <c r="J266" i="1"/>
  <c r="J258" i="1"/>
  <c r="J250" i="1"/>
  <c r="J242" i="1"/>
  <c r="J234" i="1"/>
  <c r="J226" i="1"/>
  <c r="J218" i="1"/>
  <c r="J210" i="1"/>
  <c r="J202" i="1"/>
  <c r="J194" i="1"/>
  <c r="J186" i="1"/>
  <c r="J178" i="1"/>
  <c r="J170" i="1"/>
  <c r="J162" i="1"/>
  <c r="J154" i="1"/>
  <c r="J146" i="1"/>
  <c r="J138" i="1"/>
  <c r="J130" i="1"/>
  <c r="J122" i="1"/>
  <c r="J114" i="1"/>
  <c r="J106" i="1"/>
  <c r="J98" i="1"/>
  <c r="J90" i="1"/>
  <c r="J82" i="1"/>
  <c r="J74" i="1"/>
  <c r="J66" i="1"/>
  <c r="J58" i="1"/>
  <c r="J50" i="1"/>
  <c r="J42" i="1"/>
  <c r="J34" i="1"/>
  <c r="J26" i="1"/>
  <c r="J18" i="1"/>
  <c r="J10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J297" i="1"/>
  <c r="J289" i="1"/>
  <c r="J281" i="1"/>
  <c r="J273" i="1"/>
  <c r="J265" i="1"/>
  <c r="J257" i="1"/>
  <c r="J249" i="1"/>
  <c r="J241" i="1"/>
  <c r="J233" i="1"/>
  <c r="J225" i="1"/>
  <c r="J217" i="1"/>
  <c r="J209" i="1"/>
  <c r="J201" i="1"/>
  <c r="J193" i="1"/>
  <c r="J185" i="1"/>
  <c r="J177" i="1"/>
  <c r="J169" i="1"/>
  <c r="J161" i="1"/>
  <c r="J153" i="1"/>
  <c r="J145" i="1"/>
  <c r="J137" i="1"/>
  <c r="J129" i="1"/>
  <c r="J121" i="1"/>
  <c r="J113" i="1"/>
  <c r="J105" i="1"/>
  <c r="J97" i="1"/>
  <c r="J89" i="1"/>
  <c r="J81" i="1"/>
  <c r="J73" i="1"/>
  <c r="J65" i="1"/>
  <c r="J57" i="1"/>
  <c r="J49" i="1"/>
  <c r="J41" i="1"/>
  <c r="J33" i="1"/>
  <c r="J25" i="1"/>
  <c r="J17" i="1"/>
  <c r="J9" i="1"/>
  <c r="I300" i="1"/>
  <c r="I292" i="1"/>
  <c r="I284" i="1"/>
  <c r="I276" i="1"/>
  <c r="I268" i="1"/>
  <c r="I260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8" i="1"/>
  <c r="J40" i="1"/>
  <c r="J32" i="1"/>
  <c r="J24" i="1"/>
  <c r="J16" i="1"/>
  <c r="J8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3" i="1"/>
  <c r="J15" i="1"/>
  <c r="J7" i="1"/>
  <c r="AD11" i="1"/>
  <c r="AD10" i="1"/>
  <c r="AD8" i="1" l="1"/>
  <c r="AD7" i="1"/>
</calcChain>
</file>

<file path=xl/sharedStrings.xml><?xml version="1.0" encoding="utf-8"?>
<sst xmlns="http://schemas.openxmlformats.org/spreadsheetml/2006/main" count="2153" uniqueCount="1197">
  <si>
    <t>Emp_ID</t>
  </si>
  <si>
    <t>Employee_Name</t>
  </si>
  <si>
    <t>Department</t>
  </si>
  <si>
    <t>City</t>
  </si>
  <si>
    <t>Joining_Date</t>
  </si>
  <si>
    <t>Login_Time</t>
  </si>
  <si>
    <t>Target</t>
  </si>
  <si>
    <t>Questions</t>
  </si>
  <si>
    <t>Answer</t>
  </si>
  <si>
    <t>E1001</t>
  </si>
  <si>
    <t>Yash Singh</t>
  </si>
  <si>
    <t>Sales</t>
  </si>
  <si>
    <t>Chennai</t>
  </si>
  <si>
    <t>17-May-2022</t>
  </si>
  <si>
    <t>08:08:47</t>
  </si>
  <si>
    <t>excellent leadership</t>
  </si>
  <si>
    <t>Current Date</t>
  </si>
  <si>
    <t>E1002</t>
  </si>
  <si>
    <t>Nisha Patel</t>
  </si>
  <si>
    <t>Pune</t>
  </si>
  <si>
    <t>24-Mar-2022</t>
  </si>
  <si>
    <t>08:32:38</t>
  </si>
  <si>
    <t>fast delivery</t>
  </si>
  <si>
    <t>Current Date &amp; Time</t>
  </si>
  <si>
    <t>E1003</t>
  </si>
  <si>
    <t>Yash Goyal</t>
  </si>
  <si>
    <t>Marketing</t>
  </si>
  <si>
    <t>Bangalore</t>
  </si>
  <si>
    <t>09-Jul-2023</t>
  </si>
  <si>
    <t>10:17:51</t>
  </si>
  <si>
    <t>customer focused</t>
  </si>
  <si>
    <t>Current Time</t>
  </si>
  <si>
    <t>E1004</t>
  </si>
  <si>
    <t>Tanya Joshi</t>
  </si>
  <si>
    <t>Hyderabad</t>
  </si>
  <si>
    <t>24-Jul-2022</t>
  </si>
  <si>
    <t>08:13:48</t>
  </si>
  <si>
    <t>good communication</t>
  </si>
  <si>
    <t>Total Monthly Sales</t>
  </si>
  <si>
    <t>E1005</t>
  </si>
  <si>
    <t>Suresh Singh</t>
  </si>
  <si>
    <t>Finance</t>
  </si>
  <si>
    <t>21-May-2024</t>
  </si>
  <si>
    <t>09:51:02</t>
  </si>
  <si>
    <t>strong presentation</t>
  </si>
  <si>
    <t>Average Monthly Sales</t>
  </si>
  <si>
    <t>E1006</t>
  </si>
  <si>
    <t>Neha Bansal</t>
  </si>
  <si>
    <t>11-Jul-2024</t>
  </si>
  <si>
    <t>10:56:55</t>
  </si>
  <si>
    <t>Count of  Employees</t>
  </si>
  <si>
    <t>E1007</t>
  </si>
  <si>
    <t>Rahul Patel</t>
  </si>
  <si>
    <t>HR</t>
  </si>
  <si>
    <t>13-Jun-2021</t>
  </si>
  <si>
    <t>08:55:06</t>
  </si>
  <si>
    <t>helpful attitude</t>
  </si>
  <si>
    <t>Count Numeric Sales Values</t>
  </si>
  <si>
    <t>E1008</t>
  </si>
  <si>
    <t>Yash Reddy</t>
  </si>
  <si>
    <t>29-Dec-2022</t>
  </si>
  <si>
    <t>08:42:17</t>
  </si>
  <si>
    <t>Highest Sales</t>
  </si>
  <si>
    <t>E1009</t>
  </si>
  <si>
    <t>Yash Joshi</t>
  </si>
  <si>
    <t>Delhi</t>
  </si>
  <si>
    <t>05-Aug-2023</t>
  </si>
  <si>
    <t>09:17:59</t>
  </si>
  <si>
    <t>good teamwork</t>
  </si>
  <si>
    <t>Lowest Sales</t>
  </si>
  <si>
    <t>E1010</t>
  </si>
  <si>
    <t>Rohan Patel</t>
  </si>
  <si>
    <t>Mumbai</t>
  </si>
  <si>
    <t>09-Oct-2022</t>
  </si>
  <si>
    <t>09:17:04</t>
  </si>
  <si>
    <t>accurate reports</t>
  </si>
  <si>
    <t>Square Root of Sales</t>
  </si>
  <si>
    <t>E1011</t>
  </si>
  <si>
    <t>Yash Agarwal</t>
  </si>
  <si>
    <t>Ahmedabad</t>
  </si>
  <si>
    <t>20-Oct-2021</t>
  </si>
  <si>
    <t>09:08:15</t>
  </si>
  <si>
    <t>Sales Squared</t>
  </si>
  <si>
    <t>E1012</t>
  </si>
  <si>
    <t>Manish Chopra</t>
  </si>
  <si>
    <t>26-Mar-2022</t>
  </si>
  <si>
    <t>08:32:31</t>
  </si>
  <si>
    <t>E1013</t>
  </si>
  <si>
    <t>Neha Kumar</t>
  </si>
  <si>
    <t>Kolkata</t>
  </si>
  <si>
    <t>06-May-2024</t>
  </si>
  <si>
    <t>08:24:24</t>
  </si>
  <si>
    <t>E1014</t>
  </si>
  <si>
    <t>Vikram Goyal</t>
  </si>
  <si>
    <t>28-Oct-2024</t>
  </si>
  <si>
    <t>10:48:17</t>
  </si>
  <si>
    <t>E1015</t>
  </si>
  <si>
    <t>Anjali Chopra</t>
  </si>
  <si>
    <t>07-Jan-2021</t>
  </si>
  <si>
    <t>10:56:46</t>
  </si>
  <si>
    <t>E1016</t>
  </si>
  <si>
    <t>Sneha Saxena</t>
  </si>
  <si>
    <t>01-Aug-2024</t>
  </si>
  <si>
    <t>10:38:12</t>
  </si>
  <si>
    <t>E1017</t>
  </si>
  <si>
    <t>Sneha Goyal</t>
  </si>
  <si>
    <t>28-Sep-2023</t>
  </si>
  <si>
    <t>08:07:59</t>
  </si>
  <si>
    <t>E1018</t>
  </si>
  <si>
    <t>Priya Nair</t>
  </si>
  <si>
    <t>23-Sep-2023</t>
  </si>
  <si>
    <t>08:48:34</t>
  </si>
  <si>
    <t>quick response</t>
  </si>
  <si>
    <t>E1019</t>
  </si>
  <si>
    <t>Nidhi Agarwal</t>
  </si>
  <si>
    <t>17-Dec-2023</t>
  </si>
  <si>
    <t>10:27:13</t>
  </si>
  <si>
    <t>E1020</t>
  </si>
  <si>
    <t>Anjali Bansal</t>
  </si>
  <si>
    <t>26-Nov-2023</t>
  </si>
  <si>
    <t>09:07:15</t>
  </si>
  <si>
    <t>creative ideas</t>
  </si>
  <si>
    <t>E1021</t>
  </si>
  <si>
    <t>Amit Mishra</t>
  </si>
  <si>
    <t>15-Jan-2021</t>
  </si>
  <si>
    <t>08:45:40</t>
  </si>
  <si>
    <t>E1022</t>
  </si>
  <si>
    <t>Aditya Patel</t>
  </si>
  <si>
    <t>19-Nov-2023</t>
  </si>
  <si>
    <t>08:17:42</t>
  </si>
  <si>
    <t>E1023</t>
  </si>
  <si>
    <t>Arjun Mishra</t>
  </si>
  <si>
    <t>27-Aug-2023</t>
  </si>
  <si>
    <t>09:12:06</t>
  </si>
  <si>
    <t>E1024</t>
  </si>
  <si>
    <t>Nisha Chopra</t>
  </si>
  <si>
    <t>11-Oct-2024</t>
  </si>
  <si>
    <t>10:41:06</t>
  </si>
  <si>
    <t>E1025</t>
  </si>
  <si>
    <t>Rohan Singh</t>
  </si>
  <si>
    <t>25-Jan-2022</t>
  </si>
  <si>
    <t>10:28:08</t>
  </si>
  <si>
    <t>needs improvement</t>
  </si>
  <si>
    <t>E1026</t>
  </si>
  <si>
    <t>Deepak Nair</t>
  </si>
  <si>
    <t>02-Feb-2024</t>
  </si>
  <si>
    <t>08:03:41</t>
  </si>
  <si>
    <t>E1027</t>
  </si>
  <si>
    <t>Madhuri Nair</t>
  </si>
  <si>
    <t>22-Sep-2023</t>
  </si>
  <si>
    <t>09:13:55</t>
  </si>
  <si>
    <t>E1028</t>
  </si>
  <si>
    <t>Suresh Sharma</t>
  </si>
  <si>
    <t>21-Jul-2023</t>
  </si>
  <si>
    <t>09:27:44</t>
  </si>
  <si>
    <t>E1029</t>
  </si>
  <si>
    <t>Karan Gupta</t>
  </si>
  <si>
    <t>01-Apr-2024</t>
  </si>
  <si>
    <t>10:34:03</t>
  </si>
  <si>
    <t>excellent service</t>
  </si>
  <si>
    <t>E1030</t>
  </si>
  <si>
    <t>Priya Mishra</t>
  </si>
  <si>
    <t>27-Apr-2021</t>
  </si>
  <si>
    <t>10:05:54</t>
  </si>
  <si>
    <t>E1031</t>
  </si>
  <si>
    <t>Rahul Nair</t>
  </si>
  <si>
    <t>12-Mar-2024</t>
  </si>
  <si>
    <t>08:37:38</t>
  </si>
  <si>
    <t>detailed analysis</t>
  </si>
  <si>
    <t>E1032</t>
  </si>
  <si>
    <t>Nidhi Mishra</t>
  </si>
  <si>
    <t>23-Feb-2022</t>
  </si>
  <si>
    <t>10:45:20</t>
  </si>
  <si>
    <t>E1033</t>
  </si>
  <si>
    <t>Arjun Gupta</t>
  </si>
  <si>
    <t>29-May-2021</t>
  </si>
  <si>
    <t>08:29:39</t>
  </si>
  <si>
    <t>E1034</t>
  </si>
  <si>
    <t>Ritika Mehta</t>
  </si>
  <si>
    <t>16-Dec-2022</t>
  </si>
  <si>
    <t>08:56:15</t>
  </si>
  <si>
    <t>E1035</t>
  </si>
  <si>
    <t>Deepak Goyal</t>
  </si>
  <si>
    <t>29-Sep-2024</t>
  </si>
  <si>
    <t>10:19:59</t>
  </si>
  <si>
    <t>E1036</t>
  </si>
  <si>
    <t>Arjun Shah</t>
  </si>
  <si>
    <t>08-Feb-2024</t>
  </si>
  <si>
    <t>08:17:18</t>
  </si>
  <si>
    <t>E1037</t>
  </si>
  <si>
    <t>Rohan Mehta</t>
  </si>
  <si>
    <t>30-May-2022</t>
  </si>
  <si>
    <t>08:05:40</t>
  </si>
  <si>
    <t>E1038</t>
  </si>
  <si>
    <t>Amit Iyer</t>
  </si>
  <si>
    <t>27-Nov-2021</t>
  </si>
  <si>
    <t>10:28:35</t>
  </si>
  <si>
    <t>E1039</t>
  </si>
  <si>
    <t>Amit Singh</t>
  </si>
  <si>
    <t>23-Jan-2024</t>
  </si>
  <si>
    <t>08:53:23</t>
  </si>
  <si>
    <t>E1040</t>
  </si>
  <si>
    <t>Arjun Patel</t>
  </si>
  <si>
    <t>23-Mar-2021</t>
  </si>
  <si>
    <t>09:13:43</t>
  </si>
  <si>
    <t>E1041</t>
  </si>
  <si>
    <t>Harsh Goyal</t>
  </si>
  <si>
    <t>30-Apr-2022</t>
  </si>
  <si>
    <t>08:51:51</t>
  </si>
  <si>
    <t>E1042</t>
  </si>
  <si>
    <t>Sneha Iyer</t>
  </si>
  <si>
    <t>01-Jul-2022</t>
  </si>
  <si>
    <t>08:50:44</t>
  </si>
  <si>
    <t>positive attitude</t>
  </si>
  <si>
    <t>E1043</t>
  </si>
  <si>
    <t>Priya Agarwal</t>
  </si>
  <si>
    <t>01-Aug-2023</t>
  </si>
  <si>
    <t>09:19:52</t>
  </si>
  <si>
    <t>E1044</t>
  </si>
  <si>
    <t>Amit Mehta</t>
  </si>
  <si>
    <t>25-Jul-2022</t>
  </si>
  <si>
    <t>08:49:17</t>
  </si>
  <si>
    <t>E1045</t>
  </si>
  <si>
    <t>Nidhi Goyal</t>
  </si>
  <si>
    <t>25-Aug-2021</t>
  </si>
  <si>
    <t>09:11:37</t>
  </si>
  <si>
    <t>E1046</t>
  </si>
  <si>
    <t>Shreya Chopra</t>
  </si>
  <si>
    <t>13-Jun-2023</t>
  </si>
  <si>
    <t>10:32:07</t>
  </si>
  <si>
    <t>E1047</t>
  </si>
  <si>
    <t>Priya Chopra</t>
  </si>
  <si>
    <t>16-Jan-2023</t>
  </si>
  <si>
    <t>09:04:42</t>
  </si>
  <si>
    <t>E1048</t>
  </si>
  <si>
    <t>Isha Singh</t>
  </si>
  <si>
    <t>27-Sep-2024</t>
  </si>
  <si>
    <t>09:20:25</t>
  </si>
  <si>
    <t>E1049</t>
  </si>
  <si>
    <t>Arjun Mehta</t>
  </si>
  <si>
    <t>19-Oct-2024</t>
  </si>
  <si>
    <t>10:57:11</t>
  </si>
  <si>
    <t>E1050</t>
  </si>
  <si>
    <t>Ritika Sharma</t>
  </si>
  <si>
    <t>07-Mar-2022</t>
  </si>
  <si>
    <t>09:50:37</t>
  </si>
  <si>
    <t>E1051</t>
  </si>
  <si>
    <t>Deepak Malhotra</t>
  </si>
  <si>
    <t>14-Dec-2021</t>
  </si>
  <si>
    <t>10:05:18</t>
  </si>
  <si>
    <t>E1052</t>
  </si>
  <si>
    <t>Varun Nair</t>
  </si>
  <si>
    <t>12-Feb-2022</t>
  </si>
  <si>
    <t>08:01:02</t>
  </si>
  <si>
    <t>E1053</t>
  </si>
  <si>
    <t>Isha Verma</t>
  </si>
  <si>
    <t>13-Jul-2024</t>
  </si>
  <si>
    <t>10:12:45</t>
  </si>
  <si>
    <t>E1054</t>
  </si>
  <si>
    <t>Suresh Nair</t>
  </si>
  <si>
    <t>07-Aug-2021</t>
  </si>
  <si>
    <t>09:14:11</t>
  </si>
  <si>
    <t>E1055</t>
  </si>
  <si>
    <t>Priya Goyal</t>
  </si>
  <si>
    <t>24-Jul-2023</t>
  </si>
  <si>
    <t>08:51:29</t>
  </si>
  <si>
    <t>E1056</t>
  </si>
  <si>
    <t>Shreya Iyer</t>
  </si>
  <si>
    <t>28-Jan-2024</t>
  </si>
  <si>
    <t>09:57:10</t>
  </si>
  <si>
    <t>E1057</t>
  </si>
  <si>
    <t>Vikram Nair</t>
  </si>
  <si>
    <t>07-Jul-2024</t>
  </si>
  <si>
    <t>08:17:28</t>
  </si>
  <si>
    <t>E1058</t>
  </si>
  <si>
    <t>Vikram Iyer</t>
  </si>
  <si>
    <t>11-Oct-2021</t>
  </si>
  <si>
    <t>08:14:24</t>
  </si>
  <si>
    <t>E1059</t>
  </si>
  <si>
    <t>Karan Verma</t>
  </si>
  <si>
    <t>09-Nov-2022</t>
  </si>
  <si>
    <t>10:29:26</t>
  </si>
  <si>
    <t>E1060</t>
  </si>
  <si>
    <t>Nisha Bansal</t>
  </si>
  <si>
    <t>04-Sep-2023</t>
  </si>
  <si>
    <t>08:22:19</t>
  </si>
  <si>
    <t>E1061</t>
  </si>
  <si>
    <t>Aditya Chopra</t>
  </si>
  <si>
    <t>09:27:31</t>
  </si>
  <si>
    <t>E1062</t>
  </si>
  <si>
    <t>Nidhi Bansal</t>
  </si>
  <si>
    <t>19-Sep-2021</t>
  </si>
  <si>
    <t>10:34:01</t>
  </si>
  <si>
    <t>E1063</t>
  </si>
  <si>
    <t>Manish Sharma</t>
  </si>
  <si>
    <t>05-Oct-2021</t>
  </si>
  <si>
    <t>09:11:03</t>
  </si>
  <si>
    <t>E1064</t>
  </si>
  <si>
    <t>Karan Malhotra</t>
  </si>
  <si>
    <t>16-Feb-2023</t>
  </si>
  <si>
    <t>09:48:53</t>
  </si>
  <si>
    <t>E1065</t>
  </si>
  <si>
    <t>Rahul Agarwal</t>
  </si>
  <si>
    <t>18-Dec-2022</t>
  </si>
  <si>
    <t>08:41:04</t>
  </si>
  <si>
    <t>E1066</t>
  </si>
  <si>
    <t>Amit Nair</t>
  </si>
  <si>
    <t>26-Jun-2024</t>
  </si>
  <si>
    <t>08:15:08</t>
  </si>
  <si>
    <t>E1067</t>
  </si>
  <si>
    <t>10-Dec-2021</t>
  </si>
  <si>
    <t>10:38:47</t>
  </si>
  <si>
    <t>E1068</t>
  </si>
  <si>
    <t>Varun Joshi</t>
  </si>
  <si>
    <t>31-Mar-2024</t>
  </si>
  <si>
    <t>08:59:19</t>
  </si>
  <si>
    <t>E1069</t>
  </si>
  <si>
    <t>Siddharth Mehta</t>
  </si>
  <si>
    <t>28-Jul-2021</t>
  </si>
  <si>
    <t>10:49:19</t>
  </si>
  <si>
    <t>E1070</t>
  </si>
  <si>
    <t>Manish Patel</t>
  </si>
  <si>
    <t>16-Sep-2024</t>
  </si>
  <si>
    <t>09:04:32</t>
  </si>
  <si>
    <t>E1071</t>
  </si>
  <si>
    <t>Isha Chopra</t>
  </si>
  <si>
    <t>07-Jun-2023</t>
  </si>
  <si>
    <t>09:40:57</t>
  </si>
  <si>
    <t>E1072</t>
  </si>
  <si>
    <t>Arjun Chopra</t>
  </si>
  <si>
    <t>15-Jun-2024</t>
  </si>
  <si>
    <t>10:49:30</t>
  </si>
  <si>
    <t>E1073</t>
  </si>
  <si>
    <t>Komal Mishra</t>
  </si>
  <si>
    <t>18-May-2022</t>
  </si>
  <si>
    <t>08:17:56</t>
  </si>
  <si>
    <t>E1074</t>
  </si>
  <si>
    <t>Deepak Mishra</t>
  </si>
  <si>
    <t>28-Feb-2021</t>
  </si>
  <si>
    <t>09:54:20</t>
  </si>
  <si>
    <t>E1075</t>
  </si>
  <si>
    <t>Meera Shah</t>
  </si>
  <si>
    <t>05-May-2024</t>
  </si>
  <si>
    <t>10:56:17</t>
  </si>
  <si>
    <t>E1076</t>
  </si>
  <si>
    <t>10:48:15</t>
  </si>
  <si>
    <t>E1077</t>
  </si>
  <si>
    <t>Siddharth Agarwal</t>
  </si>
  <si>
    <t>10-Jul-2021</t>
  </si>
  <si>
    <t>09:14:25</t>
  </si>
  <si>
    <t>E1078</t>
  </si>
  <si>
    <t>10:22:27</t>
  </si>
  <si>
    <t>E1079</t>
  </si>
  <si>
    <t>Siddharth Malhotra</t>
  </si>
  <si>
    <t>08:07:46</t>
  </si>
  <si>
    <t>E1080</t>
  </si>
  <si>
    <t>Komal Goyal</t>
  </si>
  <si>
    <t>20-Mar-2022</t>
  </si>
  <si>
    <t>10:30:17</t>
  </si>
  <si>
    <t>E1081</t>
  </si>
  <si>
    <t>Anjali Singh</t>
  </si>
  <si>
    <t>11-Apr-2022</t>
  </si>
  <si>
    <t>09:11:19</t>
  </si>
  <si>
    <t>E1082</t>
  </si>
  <si>
    <t>Priya Patel</t>
  </si>
  <si>
    <t>30-Jul-2024</t>
  </si>
  <si>
    <t>09:06:55</t>
  </si>
  <si>
    <t>E1083</t>
  </si>
  <si>
    <t>Kavita Malhotra</t>
  </si>
  <si>
    <t>16-Apr-2021</t>
  </si>
  <si>
    <t>09:55:30</t>
  </si>
  <si>
    <t>E1084</t>
  </si>
  <si>
    <t>Kavita Verma</t>
  </si>
  <si>
    <t>02-Nov-2021</t>
  </si>
  <si>
    <t>10:19:05</t>
  </si>
  <si>
    <t>E1085</t>
  </si>
  <si>
    <t>Harsh Chopra</t>
  </si>
  <si>
    <t>12-Jul-2023</t>
  </si>
  <si>
    <t>09:19:55</t>
  </si>
  <si>
    <t>E1086</t>
  </si>
  <si>
    <t>Manish Jain</t>
  </si>
  <si>
    <t>02-Mar-2022</t>
  </si>
  <si>
    <t>10:13:16</t>
  </si>
  <si>
    <t>E1087</t>
  </si>
  <si>
    <t>Pooja Joshi</t>
  </si>
  <si>
    <t>06-Jan-2021</t>
  </si>
  <si>
    <t>09:28:44</t>
  </si>
  <si>
    <t>E1088</t>
  </si>
  <si>
    <t>10-Dec-2024</t>
  </si>
  <si>
    <t>09:04:43</t>
  </si>
  <si>
    <t>E1089</t>
  </si>
  <si>
    <t>Tanya Mishra</t>
  </si>
  <si>
    <t>24-Aug-2021</t>
  </si>
  <si>
    <t>10:14:41</t>
  </si>
  <si>
    <t>E1090</t>
  </si>
  <si>
    <t>Arjun Verma</t>
  </si>
  <si>
    <t>22-Sep-2022</t>
  </si>
  <si>
    <t>10:47:52</t>
  </si>
  <si>
    <t>E1091</t>
  </si>
  <si>
    <t>Neha Malhotra</t>
  </si>
  <si>
    <t>12-Jul-2022</t>
  </si>
  <si>
    <t>10:34:31</t>
  </si>
  <si>
    <t>E1092</t>
  </si>
  <si>
    <t>22-Feb-2021</t>
  </si>
  <si>
    <t>08:14:43</t>
  </si>
  <si>
    <t>E1093</t>
  </si>
  <si>
    <t>Nidhi Shah</t>
  </si>
  <si>
    <t>22-Aug-2023</t>
  </si>
  <si>
    <t>10:41:28</t>
  </si>
  <si>
    <t>E1094</t>
  </si>
  <si>
    <t>Nisha Agarwal</t>
  </si>
  <si>
    <t>14-Dec-2022</t>
  </si>
  <si>
    <t>09:21:20</t>
  </si>
  <si>
    <t>E1095</t>
  </si>
  <si>
    <t>14-Aug-2022</t>
  </si>
  <si>
    <t>10:25:52</t>
  </si>
  <si>
    <t>E1096</t>
  </si>
  <si>
    <t>Rahul Iyer</t>
  </si>
  <si>
    <t>26-Aug-2021</t>
  </si>
  <si>
    <t>09:55:32</t>
  </si>
  <si>
    <t>E1097</t>
  </si>
  <si>
    <t>Isha Goyal</t>
  </si>
  <si>
    <t>22-Apr-2021</t>
  </si>
  <si>
    <t>08:33:23</t>
  </si>
  <si>
    <t>E1098</t>
  </si>
  <si>
    <t>Deepak Patel</t>
  </si>
  <si>
    <t>30-Jan-2024</t>
  </si>
  <si>
    <t>08:59:18</t>
  </si>
  <si>
    <t>E1099</t>
  </si>
  <si>
    <t>Amit Jain</t>
  </si>
  <si>
    <t>29-Sep-2022</t>
  </si>
  <si>
    <t>10:00:35</t>
  </si>
  <si>
    <t>E1100</t>
  </si>
  <si>
    <t>Varun Singh</t>
  </si>
  <si>
    <t>19-Aug-2024</t>
  </si>
  <si>
    <t>08:31:59</t>
  </si>
  <si>
    <t>E1101</t>
  </si>
  <si>
    <t>Siddharth Shah</t>
  </si>
  <si>
    <t>26-Aug-2023</t>
  </si>
  <si>
    <t>08:29:35</t>
  </si>
  <si>
    <t>E1102</t>
  </si>
  <si>
    <t>Madhuri Jain</t>
  </si>
  <si>
    <t>20-Jul-2022</t>
  </si>
  <si>
    <t>09:21:59</t>
  </si>
  <si>
    <t>E1103</t>
  </si>
  <si>
    <t>Varun Sharma</t>
  </si>
  <si>
    <t>17-Apr-2024</t>
  </si>
  <si>
    <t>10:42:31</t>
  </si>
  <si>
    <t>E1104</t>
  </si>
  <si>
    <t>Ritika Agarwal</t>
  </si>
  <si>
    <t>05-Feb-2024</t>
  </si>
  <si>
    <t>10:24:29</t>
  </si>
  <si>
    <t>E1105</t>
  </si>
  <si>
    <t>Pooja Mishra</t>
  </si>
  <si>
    <t>22-Apr-2023</t>
  </si>
  <si>
    <t>08:20:47</t>
  </si>
  <si>
    <t>E1106</t>
  </si>
  <si>
    <t>Nidhi Kumar</t>
  </si>
  <si>
    <t>16-Sep-2021</t>
  </si>
  <si>
    <t>10:37:21</t>
  </si>
  <si>
    <t>E1107</t>
  </si>
  <si>
    <t>Isha Malhotra</t>
  </si>
  <si>
    <t>01-Feb-2021</t>
  </si>
  <si>
    <t>10:09:26</t>
  </si>
  <si>
    <t>E1108</t>
  </si>
  <si>
    <t>Kavita Shah</t>
  </si>
  <si>
    <t>23-Aug-2024</t>
  </si>
  <si>
    <t>08:54:21</t>
  </si>
  <si>
    <t>E1109</t>
  </si>
  <si>
    <t>Rohan Agarwal</t>
  </si>
  <si>
    <t>26-Apr-2022</t>
  </si>
  <si>
    <t>10:43:58</t>
  </si>
  <si>
    <t>E1110</t>
  </si>
  <si>
    <t>Rahul Chopra</t>
  </si>
  <si>
    <t>28-Jun-2023</t>
  </si>
  <si>
    <t>08:44:19</t>
  </si>
  <si>
    <t>E1111</t>
  </si>
  <si>
    <t>07-Feb-2023</t>
  </si>
  <si>
    <t>09:09:15</t>
  </si>
  <si>
    <t>E1112</t>
  </si>
  <si>
    <t>Nidhi Joshi</t>
  </si>
  <si>
    <t>11-Jun-2021</t>
  </si>
  <si>
    <t>10:55:24</t>
  </si>
  <si>
    <t>E1113</t>
  </si>
  <si>
    <t>Madhuri Mishra</t>
  </si>
  <si>
    <t>03-Aug-2023</t>
  </si>
  <si>
    <t>10:16:29</t>
  </si>
  <si>
    <t>great support</t>
  </si>
  <si>
    <t>E1114</t>
  </si>
  <si>
    <t>Tanya Malhotra</t>
  </si>
  <si>
    <t>01-Jun-2021</t>
  </si>
  <si>
    <t>09:22:37</t>
  </si>
  <si>
    <t>E1115</t>
  </si>
  <si>
    <t>Vikram Malhotra</t>
  </si>
  <si>
    <t>27-Feb-2023</t>
  </si>
  <si>
    <t>09:06:15</t>
  </si>
  <si>
    <t>E1116</t>
  </si>
  <si>
    <t>Anjali Gupta</t>
  </si>
  <si>
    <t>17-Jul-2022</t>
  </si>
  <si>
    <t>08:36:55</t>
  </si>
  <si>
    <t>E1117</t>
  </si>
  <si>
    <t>Shreya Agarwal</t>
  </si>
  <si>
    <t>28-May-2024</t>
  </si>
  <si>
    <t>09:14:40</t>
  </si>
  <si>
    <t>E1118</t>
  </si>
  <si>
    <t>Harsh Kumar</t>
  </si>
  <si>
    <t>25-Sep-2022</t>
  </si>
  <si>
    <t>09:02:37</t>
  </si>
  <si>
    <t>E1119</t>
  </si>
  <si>
    <t>Madhuri Gupta</t>
  </si>
  <si>
    <t>26-Dec-2021</t>
  </si>
  <si>
    <t>08:08:50</t>
  </si>
  <si>
    <t>E1120</t>
  </si>
  <si>
    <t>Aakash Shah</t>
  </si>
  <si>
    <t>14-Sep-2023</t>
  </si>
  <si>
    <t>09:47:55</t>
  </si>
  <si>
    <t>E1121</t>
  </si>
  <si>
    <t>Rahul Kumar</t>
  </si>
  <si>
    <t>16-Feb-2024</t>
  </si>
  <si>
    <t>09:05:50</t>
  </si>
  <si>
    <t>E1122</t>
  </si>
  <si>
    <t>Ritika Singh</t>
  </si>
  <si>
    <t>09-Oct-2024</t>
  </si>
  <si>
    <t>10:43:16</t>
  </si>
  <si>
    <t>E1123</t>
  </si>
  <si>
    <t>24-Aug-2023</t>
  </si>
  <si>
    <t>08:39:56</t>
  </si>
  <si>
    <t>E1124</t>
  </si>
  <si>
    <t>Shreya Nair</t>
  </si>
  <si>
    <t>06-Dec-2024</t>
  </si>
  <si>
    <t>09:41:26</t>
  </si>
  <si>
    <t>E1125</t>
  </si>
  <si>
    <t>Priya Gupta</t>
  </si>
  <si>
    <t>19-Jul-2021</t>
  </si>
  <si>
    <t>08:56:34</t>
  </si>
  <si>
    <t>E1126</t>
  </si>
  <si>
    <t>Meera Goyal</t>
  </si>
  <si>
    <t>30-Apr-2023</t>
  </si>
  <si>
    <t>10:06:53</t>
  </si>
  <si>
    <t>E1127</t>
  </si>
  <si>
    <t>Priya Reddy</t>
  </si>
  <si>
    <t>30-Jun-2023</t>
  </si>
  <si>
    <t>08:54:23</t>
  </si>
  <si>
    <t>E1128</t>
  </si>
  <si>
    <t>Aditya Reddy</t>
  </si>
  <si>
    <t>08:07:54</t>
  </si>
  <si>
    <t>E1129</t>
  </si>
  <si>
    <t>Nidhi Mehta</t>
  </si>
  <si>
    <t>15-Nov-2022</t>
  </si>
  <si>
    <t>E1130</t>
  </si>
  <si>
    <t>Varun Goyal</t>
  </si>
  <si>
    <t>23-Apr-2022</t>
  </si>
  <si>
    <t>09:49:09</t>
  </si>
  <si>
    <t>E1131</t>
  </si>
  <si>
    <t>Isha Kumar</t>
  </si>
  <si>
    <t>24-Dec-2021</t>
  </si>
  <si>
    <t>08:42:55</t>
  </si>
  <si>
    <t>E1132</t>
  </si>
  <si>
    <t>Meera Nair</t>
  </si>
  <si>
    <t>23-Dec-2021</t>
  </si>
  <si>
    <t>09:03:08</t>
  </si>
  <si>
    <t>E1133</t>
  </si>
  <si>
    <t>Neha Verma</t>
  </si>
  <si>
    <t>12-Jan-2023</t>
  </si>
  <si>
    <t>10:37:06</t>
  </si>
  <si>
    <t>E1134</t>
  </si>
  <si>
    <t>Shreya Patel</t>
  </si>
  <si>
    <t>10-Aug-2024</t>
  </si>
  <si>
    <t>08:03:30</t>
  </si>
  <si>
    <t>E1135</t>
  </si>
  <si>
    <t>Nidhi Singh</t>
  </si>
  <si>
    <t>31-May-2021</t>
  </si>
  <si>
    <t>08:20:38</t>
  </si>
  <si>
    <t>E1136</t>
  </si>
  <si>
    <t>Vikram Jain</t>
  </si>
  <si>
    <t>08-May-2024</t>
  </si>
  <si>
    <t>10:18:29</t>
  </si>
  <si>
    <t>E1137</t>
  </si>
  <si>
    <t>Tanya Singh</t>
  </si>
  <si>
    <t>14-Jul-2023</t>
  </si>
  <si>
    <t>08:26:21</t>
  </si>
  <si>
    <t>E1138</t>
  </si>
  <si>
    <t>Nisha Singh</t>
  </si>
  <si>
    <t>03-Oct-2022</t>
  </si>
  <si>
    <t>10:16:23</t>
  </si>
  <si>
    <t>E1139</t>
  </si>
  <si>
    <t>Rahul Verma</t>
  </si>
  <si>
    <t>17-Jul-2021</t>
  </si>
  <si>
    <t>10:47:23</t>
  </si>
  <si>
    <t>E1140</t>
  </si>
  <si>
    <t>09:55:42</t>
  </si>
  <si>
    <t>E1141</t>
  </si>
  <si>
    <t>Madhuri Patel</t>
  </si>
  <si>
    <t>22-Dec-2022</t>
  </si>
  <si>
    <t>08:36:32</t>
  </si>
  <si>
    <t>E1142</t>
  </si>
  <si>
    <t>Kavita Nair</t>
  </si>
  <si>
    <t>14-Feb-2024</t>
  </si>
  <si>
    <t>09:07:48</t>
  </si>
  <si>
    <t>E1143</t>
  </si>
  <si>
    <t>Nisha Goyal</t>
  </si>
  <si>
    <t>01-Mar-2021</t>
  </si>
  <si>
    <t>08:17:44</t>
  </si>
  <si>
    <t>E1144</t>
  </si>
  <si>
    <t>Rohan Reddy</t>
  </si>
  <si>
    <t>21-Oct-2021</t>
  </si>
  <si>
    <t>10:42:25</t>
  </si>
  <si>
    <t>E1145</t>
  </si>
  <si>
    <t>Yash Sharma</t>
  </si>
  <si>
    <t>10-Feb-2023</t>
  </si>
  <si>
    <t>09:29:21</t>
  </si>
  <si>
    <t>E1146</t>
  </si>
  <si>
    <t>Komal Iyer</t>
  </si>
  <si>
    <t>15-Nov-2021</t>
  </si>
  <si>
    <t>08:48:39</t>
  </si>
  <si>
    <t>E1147</t>
  </si>
  <si>
    <t>Deepak Chopra</t>
  </si>
  <si>
    <t>29-Apr-2023</t>
  </si>
  <si>
    <t>09:13:48</t>
  </si>
  <si>
    <t>E1148</t>
  </si>
  <si>
    <t>16-Dec-2023</t>
  </si>
  <si>
    <t>10:19:02</t>
  </si>
  <si>
    <t>E1149</t>
  </si>
  <si>
    <t>Priya Sharma</t>
  </si>
  <si>
    <t>09-Mar-2022</t>
  </si>
  <si>
    <t>08:48:16</t>
  </si>
  <si>
    <t>E1150</t>
  </si>
  <si>
    <t>Amit Agarwal</t>
  </si>
  <si>
    <t>22-Sep-2021</t>
  </si>
  <si>
    <t>09:34:45</t>
  </si>
  <si>
    <t>E1151</t>
  </si>
  <si>
    <t>Varun Reddy</t>
  </si>
  <si>
    <t>28-Mar-2021</t>
  </si>
  <si>
    <t>09:01:29</t>
  </si>
  <si>
    <t>E1152</t>
  </si>
  <si>
    <t>Nisha Mishra</t>
  </si>
  <si>
    <t>16-Aug-2022</t>
  </si>
  <si>
    <t>08:25:01</t>
  </si>
  <si>
    <t>E1153</t>
  </si>
  <si>
    <t>Shreya Malhotra</t>
  </si>
  <si>
    <t>14-Jun-2023</t>
  </si>
  <si>
    <t>08:15:27</t>
  </si>
  <si>
    <t>E1154</t>
  </si>
  <si>
    <t>Rahul Bansal</t>
  </si>
  <si>
    <t>30-Mar-2022</t>
  </si>
  <si>
    <t>09:49:10</t>
  </si>
  <si>
    <t>E1155</t>
  </si>
  <si>
    <t>Neha Saxena</t>
  </si>
  <si>
    <t>21-Dec-2022</t>
  </si>
  <si>
    <t>10:52:41</t>
  </si>
  <si>
    <t>E1156</t>
  </si>
  <si>
    <t>22-Dec-2021</t>
  </si>
  <si>
    <t>10:09:48</t>
  </si>
  <si>
    <t>E1157</t>
  </si>
  <si>
    <t>Harsh Agarwal</t>
  </si>
  <si>
    <t>26-Oct-2024</t>
  </si>
  <si>
    <t>10:41:40</t>
  </si>
  <si>
    <t>E1158</t>
  </si>
  <si>
    <t>Yash Iyer</t>
  </si>
  <si>
    <t>20-May-2021</t>
  </si>
  <si>
    <t>09:28:40</t>
  </si>
  <si>
    <t>E1159</t>
  </si>
  <si>
    <t>04-Aug-2023</t>
  </si>
  <si>
    <t>09:02:03</t>
  </si>
  <si>
    <t>E1160</t>
  </si>
  <si>
    <t>Yash Verma</t>
  </si>
  <si>
    <t>03-Apr-2024</t>
  </si>
  <si>
    <t>10:50:47</t>
  </si>
  <si>
    <t>E1161</t>
  </si>
  <si>
    <t>24-May-2024</t>
  </si>
  <si>
    <t>09:32:09</t>
  </si>
  <si>
    <t>E1162</t>
  </si>
  <si>
    <t>Tanya Iyer</t>
  </si>
  <si>
    <t>22-Mar-2021</t>
  </si>
  <si>
    <t>08:45:28</t>
  </si>
  <si>
    <t>E1163</t>
  </si>
  <si>
    <t>Shreya Joshi</t>
  </si>
  <si>
    <t>03-Aug-2022</t>
  </si>
  <si>
    <t>09:26:49</t>
  </si>
  <si>
    <t>E1164</t>
  </si>
  <si>
    <t>13-Jul-2021</t>
  </si>
  <si>
    <t>10:43:24</t>
  </si>
  <si>
    <t>E1165</t>
  </si>
  <si>
    <t>Isha Jain</t>
  </si>
  <si>
    <t>16-Jun-2021</t>
  </si>
  <si>
    <t>10:42:09</t>
  </si>
  <si>
    <t>E1166</t>
  </si>
  <si>
    <t>Siddharth Bansal</t>
  </si>
  <si>
    <t>27-Sep-2022</t>
  </si>
  <si>
    <t>10:24:41</t>
  </si>
  <si>
    <t>E1167</t>
  </si>
  <si>
    <t>Arjun Saxena</t>
  </si>
  <si>
    <t>08-Nov-2023</t>
  </si>
  <si>
    <t>09:01:23</t>
  </si>
  <si>
    <t>E1168</t>
  </si>
  <si>
    <t>09-Oct-2021</t>
  </si>
  <si>
    <t>08:04:18</t>
  </si>
  <si>
    <t>E1169</t>
  </si>
  <si>
    <t>19-Jun-2024</t>
  </si>
  <si>
    <t>08:38:24</t>
  </si>
  <si>
    <t>E1170</t>
  </si>
  <si>
    <t>Varun Jain</t>
  </si>
  <si>
    <t>31-Mar-2021</t>
  </si>
  <si>
    <t>09:23:43</t>
  </si>
  <si>
    <t>E1171</t>
  </si>
  <si>
    <t>Shreya Gupta</t>
  </si>
  <si>
    <t>30-Dec-2023</t>
  </si>
  <si>
    <t>08:19:51</t>
  </si>
  <si>
    <t>E1172</t>
  </si>
  <si>
    <t>Varun Mehta</t>
  </si>
  <si>
    <t>09:49:24</t>
  </si>
  <si>
    <t>E1173</t>
  </si>
  <si>
    <t>Sneha Mehta</t>
  </si>
  <si>
    <t>17-Apr-2021</t>
  </si>
  <si>
    <t>10:30:55</t>
  </si>
  <si>
    <t>E1174</t>
  </si>
  <si>
    <t>Isha Saxena</t>
  </si>
  <si>
    <t>21-Jun-2021</t>
  </si>
  <si>
    <t>E1175</t>
  </si>
  <si>
    <t>Varun Chopra</t>
  </si>
  <si>
    <t>13-Jul-2023</t>
  </si>
  <si>
    <t>09:59:01</t>
  </si>
  <si>
    <t>E1176</t>
  </si>
  <si>
    <t>Aakash Reddy</t>
  </si>
  <si>
    <t>17-Jun-2021</t>
  </si>
  <si>
    <t>09:14:01</t>
  </si>
  <si>
    <t>E1177</t>
  </si>
  <si>
    <t>Siddharth Iyer</t>
  </si>
  <si>
    <t>20-Mar-2021</t>
  </si>
  <si>
    <t>09:58:53</t>
  </si>
  <si>
    <t>E1178</t>
  </si>
  <si>
    <t>12-Jun-2021</t>
  </si>
  <si>
    <t>08:16:13</t>
  </si>
  <si>
    <t>E1179</t>
  </si>
  <si>
    <t>Komal Jain</t>
  </si>
  <si>
    <t>08:19:07</t>
  </si>
  <si>
    <t>E1180</t>
  </si>
  <si>
    <t>Yash Jain</t>
  </si>
  <si>
    <t>16-Aug-2021</t>
  </si>
  <si>
    <t>09:38:34</t>
  </si>
  <si>
    <t>E1181</t>
  </si>
  <si>
    <t>Pooja Kumar</t>
  </si>
  <si>
    <t>04-Jan-2021</t>
  </si>
  <si>
    <t>10:22:15</t>
  </si>
  <si>
    <t>E1182</t>
  </si>
  <si>
    <t>Nidhi Verma</t>
  </si>
  <si>
    <t>14-Dec-2023</t>
  </si>
  <si>
    <t>10:32:50</t>
  </si>
  <si>
    <t>E1183</t>
  </si>
  <si>
    <t>Isha Agarwal</t>
  </si>
  <si>
    <t>04-Feb-2023</t>
  </si>
  <si>
    <t>09:47:01</t>
  </si>
  <si>
    <t>E1184</t>
  </si>
  <si>
    <t>Pooja Singh</t>
  </si>
  <si>
    <t>01-Apr-2021</t>
  </si>
  <si>
    <t>09:34:21</t>
  </si>
  <si>
    <t>E1185</t>
  </si>
  <si>
    <t>Harsh Malhotra</t>
  </si>
  <si>
    <t>04-Oct-2021</t>
  </si>
  <si>
    <t>08:45:49</t>
  </si>
  <si>
    <t>E1186</t>
  </si>
  <si>
    <t>Karan Patel</t>
  </si>
  <si>
    <t>09:32:25</t>
  </si>
  <si>
    <t>E1187</t>
  </si>
  <si>
    <t>Priya Mehta</t>
  </si>
  <si>
    <t>08-Apr-2021</t>
  </si>
  <si>
    <t>10:21:17</t>
  </si>
  <si>
    <t>E1188</t>
  </si>
  <si>
    <t>Aditya Bansal</t>
  </si>
  <si>
    <t>26-Nov-2022</t>
  </si>
  <si>
    <t>08:31:44</t>
  </si>
  <si>
    <t>E1189</t>
  </si>
  <si>
    <t>Tanya Saxena</t>
  </si>
  <si>
    <t>20-May-2023</t>
  </si>
  <si>
    <t>08:27:38</t>
  </si>
  <si>
    <t>E1190</t>
  </si>
  <si>
    <t>Anjali Iyer</t>
  </si>
  <si>
    <t>03-Nov-2022</t>
  </si>
  <si>
    <t>10:18:19</t>
  </si>
  <si>
    <t>E1191</t>
  </si>
  <si>
    <t>10:55:58</t>
  </si>
  <si>
    <t>E1192</t>
  </si>
  <si>
    <t>Yash Patel</t>
  </si>
  <si>
    <t>15-Jan-2023</t>
  </si>
  <si>
    <t>10:51:47</t>
  </si>
  <si>
    <t>E1193</t>
  </si>
  <si>
    <t>Arjun Jain</t>
  </si>
  <si>
    <t>08:15:49</t>
  </si>
  <si>
    <t>E1194</t>
  </si>
  <si>
    <t>Suresh Mishra</t>
  </si>
  <si>
    <t>22-Oct-2024</t>
  </si>
  <si>
    <t>09:23:23</t>
  </si>
  <si>
    <t>E1195</t>
  </si>
  <si>
    <t>06-Oct-2022</t>
  </si>
  <si>
    <t>10:17:15</t>
  </si>
  <si>
    <t>E1196</t>
  </si>
  <si>
    <t>Sneha Agarwal</t>
  </si>
  <si>
    <t>21-Jun-2022</t>
  </si>
  <si>
    <t>09:45:28</t>
  </si>
  <si>
    <t>E1197</t>
  </si>
  <si>
    <t>Madhuri Agarwal</t>
  </si>
  <si>
    <t>08:28:11</t>
  </si>
  <si>
    <t>E1198</t>
  </si>
  <si>
    <t>01-Feb-2024</t>
  </si>
  <si>
    <t>10:18:57</t>
  </si>
  <si>
    <t>E1199</t>
  </si>
  <si>
    <t>Siddharth Joshi</t>
  </si>
  <si>
    <t>06-Sep-2021</t>
  </si>
  <si>
    <t>08:50:08</t>
  </si>
  <si>
    <t>E1200</t>
  </si>
  <si>
    <t>04-Feb-2024</t>
  </si>
  <si>
    <t>E1201</t>
  </si>
  <si>
    <t>Suresh Agarwal</t>
  </si>
  <si>
    <t>23-Mar-2024</t>
  </si>
  <si>
    <t>08:08:20</t>
  </si>
  <si>
    <t>E1202</t>
  </si>
  <si>
    <t>Deepak Saxena</t>
  </si>
  <si>
    <t>10:37:11</t>
  </si>
  <si>
    <t>E1203</t>
  </si>
  <si>
    <t>Aakash Patel</t>
  </si>
  <si>
    <t>15-Sep-2022</t>
  </si>
  <si>
    <t>08:10:20</t>
  </si>
  <si>
    <t>E1204</t>
  </si>
  <si>
    <t>Aakash Gupta</t>
  </si>
  <si>
    <t>07-Feb-2022</t>
  </si>
  <si>
    <t>10:35:17</t>
  </si>
  <si>
    <t>E1205</t>
  </si>
  <si>
    <t>Ritika Verma</t>
  </si>
  <si>
    <t>17-Dec-2021</t>
  </si>
  <si>
    <t>10:39:46</t>
  </si>
  <si>
    <t>E1206</t>
  </si>
  <si>
    <t>08:41:49</t>
  </si>
  <si>
    <t>E1207</t>
  </si>
  <si>
    <t>Karan Mishra</t>
  </si>
  <si>
    <t>17-Oct-2023</t>
  </si>
  <si>
    <t>10:34:18</t>
  </si>
  <si>
    <t>E1208</t>
  </si>
  <si>
    <t>Pooja Bansal</t>
  </si>
  <si>
    <t>30-May-2021</t>
  </si>
  <si>
    <t>10:03:10</t>
  </si>
  <si>
    <t>E1209</t>
  </si>
  <si>
    <t>Deepak Mehta</t>
  </si>
  <si>
    <t>10:20:46</t>
  </si>
  <si>
    <t>E1210</t>
  </si>
  <si>
    <t>Arjun Reddy</t>
  </si>
  <si>
    <t>11-May-2022</t>
  </si>
  <si>
    <t>09:07:17</t>
  </si>
  <si>
    <t>E1211</t>
  </si>
  <si>
    <t>Neha Patel</t>
  </si>
  <si>
    <t>14-Jun-2024</t>
  </si>
  <si>
    <t>09:15:55</t>
  </si>
  <si>
    <t>E1212</t>
  </si>
  <si>
    <t>Rohan Mishra</t>
  </si>
  <si>
    <t>23-Nov-2021</t>
  </si>
  <si>
    <t>09:32:29</t>
  </si>
  <si>
    <t>E1213</t>
  </si>
  <si>
    <t>Amit Verma</t>
  </si>
  <si>
    <t>09-May-2022</t>
  </si>
  <si>
    <t>08:37:22</t>
  </si>
  <si>
    <t>E1214</t>
  </si>
  <si>
    <t>Kavita Jain</t>
  </si>
  <si>
    <t>05-Jan-2024</t>
  </si>
  <si>
    <t>08:54:06</t>
  </si>
  <si>
    <t>E1215</t>
  </si>
  <si>
    <t>Vikram Reddy</t>
  </si>
  <si>
    <t>03-Apr-2021</t>
  </si>
  <si>
    <t>09:03:36</t>
  </si>
  <si>
    <t>E1216</t>
  </si>
  <si>
    <t>Ritika Gupta</t>
  </si>
  <si>
    <t>30-Oct-2023</t>
  </si>
  <si>
    <t>09:48:35</t>
  </si>
  <si>
    <t>E1217</t>
  </si>
  <si>
    <t>17-Feb-2024</t>
  </si>
  <si>
    <t>09:48:09</t>
  </si>
  <si>
    <t>E1218</t>
  </si>
  <si>
    <t>08-Oct-2021</t>
  </si>
  <si>
    <t>10:21:51</t>
  </si>
  <si>
    <t>E1219</t>
  </si>
  <si>
    <t>09-Jun-2024</t>
  </si>
  <si>
    <t>09:10:25</t>
  </si>
  <si>
    <t>E1220</t>
  </si>
  <si>
    <t>Rohan Saxena</t>
  </si>
  <si>
    <t>31-Aug-2023</t>
  </si>
  <si>
    <t>08:23:21</t>
  </si>
  <si>
    <t>E1221</t>
  </si>
  <si>
    <t>Manish Gupta</t>
  </si>
  <si>
    <t>28-Jun-2022</t>
  </si>
  <si>
    <t>10:50:49</t>
  </si>
  <si>
    <t>E1222</t>
  </si>
  <si>
    <t>10-Dec-2023</t>
  </si>
  <si>
    <t>10:46:39</t>
  </si>
  <si>
    <t>E1223</t>
  </si>
  <si>
    <t>26-Jan-2022</t>
  </si>
  <si>
    <t>08:28:20</t>
  </si>
  <si>
    <t>E1224</t>
  </si>
  <si>
    <t>08-May-2021</t>
  </si>
  <si>
    <t>10:08:33</t>
  </si>
  <si>
    <t>E1225</t>
  </si>
  <si>
    <t>Kavita Saxena</t>
  </si>
  <si>
    <t>21-Dec-2021</t>
  </si>
  <si>
    <t>09:58:34</t>
  </si>
  <si>
    <t>E1226</t>
  </si>
  <si>
    <t>Harsh Shah</t>
  </si>
  <si>
    <t>20-May-2022</t>
  </si>
  <si>
    <t>09:35:19</t>
  </si>
  <si>
    <t>E1227</t>
  </si>
  <si>
    <t>Anjali Mehta</t>
  </si>
  <si>
    <t>10-Sep-2023</t>
  </si>
  <si>
    <t>09:35:59</t>
  </si>
  <si>
    <t>E1228</t>
  </si>
  <si>
    <t>Neha Mishra</t>
  </si>
  <si>
    <t>08-Dec-2022</t>
  </si>
  <si>
    <t>08:18:02</t>
  </si>
  <si>
    <t>E1229</t>
  </si>
  <si>
    <t>Madhuri Malhotra</t>
  </si>
  <si>
    <t>15-Mar-2022</t>
  </si>
  <si>
    <t>08:52:34</t>
  </si>
  <si>
    <t>E1230</t>
  </si>
  <si>
    <t>Neha Jain</t>
  </si>
  <si>
    <t>14-Apr-2021</t>
  </si>
  <si>
    <t>10:57:33</t>
  </si>
  <si>
    <t>E1231</t>
  </si>
  <si>
    <t>Neha Chopra</t>
  </si>
  <si>
    <t>25-Jul-2021</t>
  </si>
  <si>
    <t>10:49:08</t>
  </si>
  <si>
    <t>E1232</t>
  </si>
  <si>
    <t>12-Aug-2022</t>
  </si>
  <si>
    <t>09:18:41</t>
  </si>
  <si>
    <t>E1233</t>
  </si>
  <si>
    <t>Manish Nair</t>
  </si>
  <si>
    <t>06-May-2023</t>
  </si>
  <si>
    <t>08:59:58</t>
  </si>
  <si>
    <t>E1234</t>
  </si>
  <si>
    <t>Kavita Joshi</t>
  </si>
  <si>
    <t>19-Jan-2021</t>
  </si>
  <si>
    <t>09:36:38</t>
  </si>
  <si>
    <t>E1235</t>
  </si>
  <si>
    <t>09:17:12</t>
  </si>
  <si>
    <t>E1236</t>
  </si>
  <si>
    <t>Sneha Malhotra</t>
  </si>
  <si>
    <t>29-Jan-2021</t>
  </si>
  <si>
    <t>10:21:50</t>
  </si>
  <si>
    <t>E1237</t>
  </si>
  <si>
    <t>Shreya Bansal</t>
  </si>
  <si>
    <t>27-Jun-2021</t>
  </si>
  <si>
    <t>09:42:06</t>
  </si>
  <si>
    <t>E1238</t>
  </si>
  <si>
    <t>Rohan Nair</t>
  </si>
  <si>
    <t>25-Feb-2023</t>
  </si>
  <si>
    <t>08:28:48</t>
  </si>
  <si>
    <t>E1239</t>
  </si>
  <si>
    <t>Manish Mishra</t>
  </si>
  <si>
    <t>31-Aug-2024</t>
  </si>
  <si>
    <t>09:44:15</t>
  </si>
  <si>
    <t>E1240</t>
  </si>
  <si>
    <t>Anjali Joshi</t>
  </si>
  <si>
    <t>14-Nov-2024</t>
  </si>
  <si>
    <t>08:40:58</t>
  </si>
  <si>
    <t>E1241</t>
  </si>
  <si>
    <t>Pooja Nair</t>
  </si>
  <si>
    <t>10-Nov-2021</t>
  </si>
  <si>
    <t>09:47:38</t>
  </si>
  <si>
    <t>E1242</t>
  </si>
  <si>
    <t>25-Oct-2024</t>
  </si>
  <si>
    <t>10:55:50</t>
  </si>
  <si>
    <t>E1243</t>
  </si>
  <si>
    <t>07-May-2021</t>
  </si>
  <si>
    <t>10:57:32</t>
  </si>
  <si>
    <t>E1244</t>
  </si>
  <si>
    <t>08:45:37</t>
  </si>
  <si>
    <t>E1245</t>
  </si>
  <si>
    <t>Aakash Malhotra</t>
  </si>
  <si>
    <t>28-Sep-2021</t>
  </si>
  <si>
    <t>10:26:29</t>
  </si>
  <si>
    <t>E1246</t>
  </si>
  <si>
    <t>Deepak Gupta</t>
  </si>
  <si>
    <t>06-Jun-2022</t>
  </si>
  <si>
    <t>08:47:13</t>
  </si>
  <si>
    <t>E1247</t>
  </si>
  <si>
    <t>Nisha Reddy</t>
  </si>
  <si>
    <t>22-May-2021</t>
  </si>
  <si>
    <t>09:02:18</t>
  </si>
  <si>
    <t>E1248</t>
  </si>
  <si>
    <t>08-Jul-2023</t>
  </si>
  <si>
    <t>09:24:05</t>
  </si>
  <si>
    <t>E1249</t>
  </si>
  <si>
    <t>Isha Reddy</t>
  </si>
  <si>
    <t>06-Jan-2024</t>
  </si>
  <si>
    <t>09:33:08</t>
  </si>
  <si>
    <t>E1250</t>
  </si>
  <si>
    <t>Amit Sharma</t>
  </si>
  <si>
    <t>10:34:27</t>
  </si>
  <si>
    <t>E1251</t>
  </si>
  <si>
    <t>14-Nov-2021</t>
  </si>
  <si>
    <t>09:12:59</t>
  </si>
  <si>
    <t>E1252</t>
  </si>
  <si>
    <t>Tanya Chopra</t>
  </si>
  <si>
    <t>27-Feb-2022</t>
  </si>
  <si>
    <t>08:06:38</t>
  </si>
  <si>
    <t>E1253</t>
  </si>
  <si>
    <t>Nidhi Patel</t>
  </si>
  <si>
    <t>04-Apr-2023</t>
  </si>
  <si>
    <t>09:14:34</t>
  </si>
  <si>
    <t>E1254</t>
  </si>
  <si>
    <t>28-Mar-2024</t>
  </si>
  <si>
    <t>10:49:43</t>
  </si>
  <si>
    <t>E1255</t>
  </si>
  <si>
    <t>Anjali Kumar</t>
  </si>
  <si>
    <t>08-Sep-2022</t>
  </si>
  <si>
    <t>09:03:35</t>
  </si>
  <si>
    <t>E1256</t>
  </si>
  <si>
    <t>Nidhi Chopra</t>
  </si>
  <si>
    <t>07-Dec-2022</t>
  </si>
  <si>
    <t>10:42:24</t>
  </si>
  <si>
    <t>E1257</t>
  </si>
  <si>
    <t>Siddharth Chopra</t>
  </si>
  <si>
    <t>07-Sep-2022</t>
  </si>
  <si>
    <t>09:11:48</t>
  </si>
  <si>
    <t>E1258</t>
  </si>
  <si>
    <t>Isha Nair</t>
  </si>
  <si>
    <t>07-Aug-2023</t>
  </si>
  <si>
    <t>08:35:26</t>
  </si>
  <si>
    <t>E1259</t>
  </si>
  <si>
    <t>08-Nov-2022</t>
  </si>
  <si>
    <t>10:05:59</t>
  </si>
  <si>
    <t>E1260</t>
  </si>
  <si>
    <t>12-Feb-2023</t>
  </si>
  <si>
    <t>10:38:38</t>
  </si>
  <si>
    <t>E1261</t>
  </si>
  <si>
    <t>04-Mar-2022</t>
  </si>
  <si>
    <t>09:19:58</t>
  </si>
  <si>
    <t>E1262</t>
  </si>
  <si>
    <t>Karan Singh</t>
  </si>
  <si>
    <t>25-Nov-2024</t>
  </si>
  <si>
    <t>10:45:13</t>
  </si>
  <si>
    <t>E1263</t>
  </si>
  <si>
    <t>Rohan Gupta</t>
  </si>
  <si>
    <t>29-Dec-2023</t>
  </si>
  <si>
    <t>10:22:19</t>
  </si>
  <si>
    <t>E1264</t>
  </si>
  <si>
    <t>Aditya Agarwal</t>
  </si>
  <si>
    <t>20-Aug-2023</t>
  </si>
  <si>
    <t>09:58:13</t>
  </si>
  <si>
    <t>E1265</t>
  </si>
  <si>
    <t>03-Feb-2021</t>
  </si>
  <si>
    <t>E1266</t>
  </si>
  <si>
    <t>17-Feb-2023</t>
  </si>
  <si>
    <t>10:53:15</t>
  </si>
  <si>
    <t>E1267</t>
  </si>
  <si>
    <t>11-Dec-2021</t>
  </si>
  <si>
    <t>10:50:22</t>
  </si>
  <si>
    <t>E1268</t>
  </si>
  <si>
    <t>08:53:54</t>
  </si>
  <si>
    <t>E1269</t>
  </si>
  <si>
    <t>Amit Chopra</t>
  </si>
  <si>
    <t>10:09:00</t>
  </si>
  <si>
    <t>E1270</t>
  </si>
  <si>
    <t>Meera Patel</t>
  </si>
  <si>
    <t>02-Feb-2021</t>
  </si>
  <si>
    <t>08:34:35</t>
  </si>
  <si>
    <t>E1271</t>
  </si>
  <si>
    <t>26-Oct-2023</t>
  </si>
  <si>
    <t>10:43:27</t>
  </si>
  <si>
    <t>E1272</t>
  </si>
  <si>
    <t>Madhuri Singh</t>
  </si>
  <si>
    <t>29-Jan-2022</t>
  </si>
  <si>
    <t>10:33:16</t>
  </si>
  <si>
    <t>E1273</t>
  </si>
  <si>
    <t>Tanya Bansal</t>
  </si>
  <si>
    <t>12-Apr-2023</t>
  </si>
  <si>
    <t>09:36:15</t>
  </si>
  <si>
    <t>E1274</t>
  </si>
  <si>
    <t>11-Apr-2023</t>
  </si>
  <si>
    <t>09:24:35</t>
  </si>
  <si>
    <t>E1275</t>
  </si>
  <si>
    <t>Amit Joshi</t>
  </si>
  <si>
    <t>08-Jun-2023</t>
  </si>
  <si>
    <t>10:50:21</t>
  </si>
  <si>
    <t>E1276</t>
  </si>
  <si>
    <t>18-Nov-2024</t>
  </si>
  <si>
    <t>E1277</t>
  </si>
  <si>
    <t>Madhuri Shah</t>
  </si>
  <si>
    <t>07-Oct-2022</t>
  </si>
  <si>
    <t>08:13:37</t>
  </si>
  <si>
    <t>E1278</t>
  </si>
  <si>
    <t>Rahul Gupta</t>
  </si>
  <si>
    <t>06-Mar-2024</t>
  </si>
  <si>
    <t>09:43:57</t>
  </si>
  <si>
    <t>E1279</t>
  </si>
  <si>
    <t>20-Apr-2021</t>
  </si>
  <si>
    <t>08:27:14</t>
  </si>
  <si>
    <t>E1280</t>
  </si>
  <si>
    <t>Shreya Jain</t>
  </si>
  <si>
    <t>02-Mar-2021</t>
  </si>
  <si>
    <t>10:17:50</t>
  </si>
  <si>
    <t>E1281</t>
  </si>
  <si>
    <t>16-Jan-2022</t>
  </si>
  <si>
    <t>10:37:42</t>
  </si>
  <si>
    <t>E1282</t>
  </si>
  <si>
    <t>18-Jun-2021</t>
  </si>
  <si>
    <t>09:09:24</t>
  </si>
  <si>
    <t>E1283</t>
  </si>
  <si>
    <t>Suresh Iyer</t>
  </si>
  <si>
    <t>07-Jul-2021</t>
  </si>
  <si>
    <t>08:19:28</t>
  </si>
  <si>
    <t>E1284</t>
  </si>
  <si>
    <t>10:35:32</t>
  </si>
  <si>
    <t>E1285</t>
  </si>
  <si>
    <t>Rahul Reddy</t>
  </si>
  <si>
    <t>28-Feb-2023</t>
  </si>
  <si>
    <t>08:18:26</t>
  </si>
  <si>
    <t>E1286</t>
  </si>
  <si>
    <t>Aditya Goyal</t>
  </si>
  <si>
    <t>04-Nov-2024</t>
  </si>
  <si>
    <t>09:10:08</t>
  </si>
  <si>
    <t>E1287</t>
  </si>
  <si>
    <t>Kavita Kumar</t>
  </si>
  <si>
    <t>10-Jun-2023</t>
  </si>
  <si>
    <t>09:26:19</t>
  </si>
  <si>
    <t>E1288</t>
  </si>
  <si>
    <t>27-Jul-2023</t>
  </si>
  <si>
    <t>08:08:19</t>
  </si>
  <si>
    <t>E1289</t>
  </si>
  <si>
    <t>21-Jun-2023</t>
  </si>
  <si>
    <t>09:27:52</t>
  </si>
  <si>
    <t>E1290</t>
  </si>
  <si>
    <t>Rohan Jain</t>
  </si>
  <si>
    <t>08:25:20</t>
  </si>
  <si>
    <t>E1291</t>
  </si>
  <si>
    <t>Tanya Nair</t>
  </si>
  <si>
    <t>29-Jul-2022</t>
  </si>
  <si>
    <t>09:23:07</t>
  </si>
  <si>
    <t>E1292</t>
  </si>
  <si>
    <t>Ritika Joshi</t>
  </si>
  <si>
    <t>21-Dec-2024</t>
  </si>
  <si>
    <t>08:28:51</t>
  </si>
  <si>
    <t>E1293</t>
  </si>
  <si>
    <t>21-Jul-2024</t>
  </si>
  <si>
    <t>09:15:16</t>
  </si>
  <si>
    <t>E1294</t>
  </si>
  <si>
    <t>09-May-2024</t>
  </si>
  <si>
    <t>09:37:25</t>
  </si>
  <si>
    <t>E1295</t>
  </si>
  <si>
    <t>Madhuri Chopra</t>
  </si>
  <si>
    <t>07-Dec-2024</t>
  </si>
  <si>
    <t>10:38:40</t>
  </si>
  <si>
    <t>E1296</t>
  </si>
  <si>
    <t>Harsh Nair</t>
  </si>
  <si>
    <t>18-Aug-2024</t>
  </si>
  <si>
    <t>10:02:36</t>
  </si>
  <si>
    <t>E1297</t>
  </si>
  <si>
    <t>Rohan Chopra</t>
  </si>
  <si>
    <t>21-Jul-2021</t>
  </si>
  <si>
    <t>09:14:32</t>
  </si>
  <si>
    <t>E1298</t>
  </si>
  <si>
    <t>06-Feb-2023</t>
  </si>
  <si>
    <t>09:29:49</t>
  </si>
  <si>
    <t>E1299</t>
  </si>
  <si>
    <t>Meera Sharma</t>
  </si>
  <si>
    <t>29-Aug-2022</t>
  </si>
  <si>
    <t>09:58:05</t>
  </si>
  <si>
    <t>E1300</t>
  </si>
  <si>
    <t>04-Dec-2023</t>
  </si>
  <si>
    <t>09:22:30</t>
  </si>
  <si>
    <t>Arthimatic function</t>
  </si>
  <si>
    <t>sum</t>
  </si>
  <si>
    <t>average</t>
  </si>
  <si>
    <t>count</t>
  </si>
  <si>
    <t>counta</t>
  </si>
  <si>
    <t>text value</t>
  </si>
  <si>
    <t>max</t>
  </si>
  <si>
    <t>min</t>
  </si>
  <si>
    <t>power</t>
  </si>
  <si>
    <t>Date and Time</t>
  </si>
  <si>
    <t>Now</t>
  </si>
  <si>
    <t>day</t>
  </si>
  <si>
    <t>month</t>
  </si>
  <si>
    <t>year</t>
  </si>
  <si>
    <t>monthly_sale</t>
  </si>
  <si>
    <t>second</t>
  </si>
  <si>
    <t>minute</t>
  </si>
  <si>
    <t>hour</t>
  </si>
  <si>
    <t>helper_cols</t>
  </si>
  <si>
    <t>left</t>
  </si>
  <si>
    <t>right</t>
  </si>
  <si>
    <t>length</t>
  </si>
  <si>
    <t>trim_customer</t>
  </si>
  <si>
    <t>upper</t>
  </si>
  <si>
    <t>lower</t>
  </si>
  <si>
    <t>proper</t>
  </si>
  <si>
    <t>num</t>
  </si>
  <si>
    <t>+91-7589869696</t>
  </si>
  <si>
    <t>+3-75859555</t>
  </si>
  <si>
    <t>+411-7484857</t>
  </si>
  <si>
    <t>country code</t>
  </si>
  <si>
    <t>phone no</t>
  </si>
  <si>
    <t>right_len_find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</si>
</sst>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b/>
      <u/>
      <sz val="12"/>
      <color rgb="FFFF0000"/>
      <name val="Calibri"/>
      <charset val="134"/>
      <scheme val="minor"/>
    </font>
    <font>
      <b/>
      <sz val="11.05"/>
      <color rgb="FF000000"/>
      <name val="宋体"/>
      <charset val="134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/>
    <xf numFmtId="0" fontId="0" fillId="0" borderId="1" xfId="0" applyBorder="1"/>
    <xf numFmtId="0" fontId="4" fillId="0" borderId="1" xfId="0" applyFont="1" applyBorder="1"/>
    <xf numFmtId="0" fontId="1" fillId="0" borderId="0" xfId="0" applyFont="1"/>
    <xf numFmtId="0" fontId="6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6" fillId="0" borderId="2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horizontal="center" vertical="top"/>
    </xf>
    <xf numFmtId="0" fontId="0" fillId="0" borderId="0" xfId="0" quotePrefix="1"/>
    <xf numFmtId="0" fontId="6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1"/>
  <sheetViews>
    <sheetView tabSelected="1" topLeftCell="I1" zoomScale="102" zoomScaleNormal="102" workbookViewId="0">
      <selection activeCell="T2" sqref="T2:T301"/>
    </sheetView>
  </sheetViews>
  <sheetFormatPr defaultColWidth="9" defaultRowHeight="14.4"/>
  <cols>
    <col min="2" max="2" width="13.88671875" customWidth="1"/>
    <col min="3" max="3" width="12.109375" customWidth="1"/>
    <col min="4" max="5" width="29.77734375" customWidth="1"/>
    <col min="6" max="6" width="12" customWidth="1"/>
    <col min="7" max="7" width="13.44140625" customWidth="1"/>
    <col min="13" max="13" width="12.44140625" customWidth="1"/>
    <col min="14" max="14" width="12.109375" customWidth="1"/>
    <col min="15" max="15" width="9.109375" customWidth="1"/>
    <col min="16" max="16" width="9.33203125" customWidth="1"/>
    <col min="17" max="17" width="12" customWidth="1"/>
    <col min="18" max="20" width="11.5546875" customWidth="1"/>
    <col min="21" max="21" width="18.5546875" customWidth="1"/>
    <col min="23" max="27" width="23.88671875" customWidth="1"/>
    <col min="28" max="28" width="28.21875" customWidth="1"/>
    <col min="30" max="30" width="11.109375" customWidth="1"/>
    <col min="32" max="32" width="30.6640625" customWidth="1"/>
    <col min="33" max="33" width="13.88671875" customWidth="1"/>
  </cols>
  <sheetData>
    <row r="1" spans="1:39" ht="15.6">
      <c r="A1" s="1" t="s">
        <v>0</v>
      </c>
      <c r="B1" s="1" t="s">
        <v>1</v>
      </c>
      <c r="C1" s="1" t="s">
        <v>2</v>
      </c>
      <c r="D1" s="6" t="s">
        <v>1182</v>
      </c>
      <c r="E1" s="6" t="s">
        <v>1196</v>
      </c>
      <c r="F1" s="1" t="s">
        <v>3</v>
      </c>
      <c r="G1" s="1" t="s">
        <v>4</v>
      </c>
      <c r="H1" s="6" t="s">
        <v>1175</v>
      </c>
      <c r="I1" s="6" t="s">
        <v>1183</v>
      </c>
      <c r="J1" s="6" t="s">
        <v>1184</v>
      </c>
      <c r="K1" s="6" t="s">
        <v>1176</v>
      </c>
      <c r="L1" s="6" t="s">
        <v>1177</v>
      </c>
      <c r="M1" s="1" t="s">
        <v>5</v>
      </c>
      <c r="N1" s="6" t="s">
        <v>1179</v>
      </c>
      <c r="O1" s="6" t="s">
        <v>1180</v>
      </c>
      <c r="P1" s="6" t="s">
        <v>1181</v>
      </c>
      <c r="Q1" s="6" t="s">
        <v>1178</v>
      </c>
      <c r="R1" s="6" t="s">
        <v>6</v>
      </c>
      <c r="S1" s="15"/>
      <c r="T1" s="15"/>
      <c r="U1" s="12" t="s">
        <v>1186</v>
      </c>
      <c r="V1" s="12" t="s">
        <v>1185</v>
      </c>
      <c r="W1" s="12" t="s">
        <v>1187</v>
      </c>
      <c r="X1" s="13" t="s">
        <v>1188</v>
      </c>
      <c r="Y1" s="13" t="s">
        <v>1189</v>
      </c>
      <c r="Z1" s="13" t="s">
        <v>1190</v>
      </c>
      <c r="AA1" s="13" t="s">
        <v>1194</v>
      </c>
      <c r="AB1" s="13" t="s">
        <v>1195</v>
      </c>
      <c r="AL1" s="2" t="s">
        <v>7</v>
      </c>
      <c r="AM1" s="2" t="s">
        <v>8</v>
      </c>
    </row>
    <row r="2" spans="1:39">
      <c r="A2" t="s">
        <v>9</v>
      </c>
      <c r="B2" t="s">
        <v>10</v>
      </c>
      <c r="C2" t="s">
        <v>11</v>
      </c>
      <c r="D2" t="str">
        <f>_xlfn.CONCAT(B2,"(",A2,")","-",C2)</f>
        <v>Yash Singh(E1001)-Sales</v>
      </c>
      <c r="E2" t="str">
        <f>RIGHT(D2,LEN(D2)-FIND("-",D2))</f>
        <v>Sales</v>
      </c>
      <c r="F2" t="s">
        <v>12</v>
      </c>
      <c r="G2" t="s">
        <v>13</v>
      </c>
      <c r="H2" t="str">
        <f>TEXT(G2,"dddd")</f>
        <v>Tuesday</v>
      </c>
      <c r="I2" t="str">
        <f>LEFT(H2,3)</f>
        <v>Tue</v>
      </c>
      <c r="J2" t="str">
        <f>RIGHT(H2,3)</f>
        <v>day</v>
      </c>
      <c r="K2" t="str">
        <f>TEXT(G2,"mmm")</f>
        <v>May</v>
      </c>
      <c r="L2">
        <f>YEAR(G2)</f>
        <v>2022</v>
      </c>
      <c r="M2" t="s">
        <v>14</v>
      </c>
      <c r="N2">
        <f>SECOND(M2)</f>
        <v>47</v>
      </c>
      <c r="O2">
        <f>MINUTE(M2)</f>
        <v>8</v>
      </c>
      <c r="P2">
        <f>HOUR(M2)</f>
        <v>8</v>
      </c>
      <c r="Q2">
        <v>37414</v>
      </c>
      <c r="R2">
        <v>46717</v>
      </c>
      <c r="S2" t="str">
        <f>IF(R2&gt;50000,"high target","low target")</f>
        <v>low target</v>
      </c>
      <c r="T2" t="str">
        <f>_xlfn.IFS(R2&lt;40000,"low target",R2&lt;70000,"mid target",R2&gt;70000,"high target")</f>
        <v>mid target</v>
      </c>
      <c r="U2" t="s">
        <v>15</v>
      </c>
      <c r="V2">
        <f>LEN(U2)</f>
        <v>20</v>
      </c>
      <c r="W2" t="str">
        <f>UPPER(U2)</f>
        <v>EXCELLENT LEADERSHIP</v>
      </c>
      <c r="X2" t="str">
        <f>LOWER(U2)</f>
        <v>excellent leadership</v>
      </c>
      <c r="Y2" t="str">
        <f>PROPER(U2)</f>
        <v>Excellent Leadership</v>
      </c>
      <c r="Z2" s="14" t="s">
        <v>1191</v>
      </c>
      <c r="AA2" t="str">
        <f>LEFT(Z2,FIND("-",Z2,1)-1)</f>
        <v>+91</v>
      </c>
      <c r="AB2" t="str">
        <f>RIGHT(Z2,LEN(Z2)-FIND("-",Z2))</f>
        <v>7589869696</v>
      </c>
      <c r="AL2" s="3" t="s">
        <v>16</v>
      </c>
      <c r="AM2" s="3"/>
    </row>
    <row r="3" spans="1:39" ht="15">
      <c r="A3" t="s">
        <v>17</v>
      </c>
      <c r="B3" t="s">
        <v>18</v>
      </c>
      <c r="C3" t="s">
        <v>11</v>
      </c>
      <c r="D3" t="str">
        <f t="shared" ref="D3:D66" si="0">_xlfn.CONCAT(B3,"(",A3,")","-",C3)</f>
        <v>Nisha Patel(E1002)-Sales</v>
      </c>
      <c r="E3" t="str">
        <f t="shared" ref="E3:E66" si="1">RIGHT(D3,LEN(D3)-FIND("-",D3))</f>
        <v>Sales</v>
      </c>
      <c r="F3" t="s">
        <v>19</v>
      </c>
      <c r="G3" t="s">
        <v>20</v>
      </c>
      <c r="H3" t="str">
        <f t="shared" ref="H3:H66" si="2">TEXT(G3,"dddd")</f>
        <v>Thursday</v>
      </c>
      <c r="I3" t="str">
        <f t="shared" ref="I3:I66" si="3">LEFT(H3,3)</f>
        <v>Thu</v>
      </c>
      <c r="J3" t="str">
        <f t="shared" ref="J3:J66" si="4">RIGHT(H3,3)</f>
        <v>day</v>
      </c>
      <c r="K3" t="str">
        <f t="shared" ref="K3:K66" si="5">TEXT(G3,"mmm")</f>
        <v>Mar</v>
      </c>
      <c r="L3">
        <f t="shared" ref="L3:L66" si="6">YEAR(G3)</f>
        <v>2022</v>
      </c>
      <c r="M3" t="s">
        <v>21</v>
      </c>
      <c r="N3">
        <f t="shared" ref="N3:N66" si="7">SECOND(M3)</f>
        <v>38</v>
      </c>
      <c r="O3">
        <f t="shared" ref="O3:O66" si="8">MINUTE(M3)</f>
        <v>32</v>
      </c>
      <c r="P3">
        <f t="shared" ref="P3:P66" si="9">HOUR(M3)</f>
        <v>8</v>
      </c>
      <c r="Q3">
        <v>39770</v>
      </c>
      <c r="R3">
        <v>41739</v>
      </c>
      <c r="S3" t="str">
        <f t="shared" ref="S3:S66" si="10">IF(R3&gt;50000,"high target","low target")</f>
        <v>low target</v>
      </c>
      <c r="T3" t="str">
        <f t="shared" ref="T3:T66" si="11">_xlfn.IFS(R3&lt;40000,"low target",R3&lt;70000,"mid target",R3&gt;70000,"high target")</f>
        <v>mid target</v>
      </c>
      <c r="U3" t="s">
        <v>22</v>
      </c>
      <c r="V3">
        <f t="shared" ref="V3:V66" si="12">LEN(U3)</f>
        <v>13</v>
      </c>
      <c r="W3" t="str">
        <f t="shared" ref="W3:W66" si="13">UPPER(U3)</f>
        <v>FAST DELIVERY</v>
      </c>
      <c r="X3" t="str">
        <f t="shared" ref="X3:X66" si="14">LOWER(U3)</f>
        <v>fast delivery</v>
      </c>
      <c r="Y3" t="str">
        <f t="shared" ref="Y3:Y66" si="15">PROPER(U3)</f>
        <v>Fast Delivery</v>
      </c>
      <c r="Z3" s="14" t="s">
        <v>1192</v>
      </c>
      <c r="AA3" t="str">
        <f t="shared" ref="AA3:AA66" si="16">LEFT(Z3,FIND("-",Z3,1)-1)</f>
        <v>+3</v>
      </c>
      <c r="AB3" t="str">
        <f t="shared" ref="AB3:AB66" si="17">RIGHT(Z3,LEN(Z3)-FIND("-",Z3))</f>
        <v>75859555</v>
      </c>
      <c r="AC3" s="8" t="s">
        <v>1164</v>
      </c>
      <c r="AD3" s="9"/>
      <c r="AE3" s="9"/>
      <c r="AL3" s="4" t="s">
        <v>23</v>
      </c>
      <c r="AM3" s="3"/>
    </row>
    <row r="4" spans="1:39">
      <c r="A4" t="s">
        <v>24</v>
      </c>
      <c r="B4" t="s">
        <v>25</v>
      </c>
      <c r="C4" t="s">
        <v>26</v>
      </c>
      <c r="D4" t="str">
        <f t="shared" si="0"/>
        <v>Yash Goyal(E1003)-Marketing</v>
      </c>
      <c r="E4" t="str">
        <f t="shared" si="1"/>
        <v>Marketing</v>
      </c>
      <c r="F4" t="s">
        <v>27</v>
      </c>
      <c r="G4" t="s">
        <v>28</v>
      </c>
      <c r="H4" t="str">
        <f t="shared" si="2"/>
        <v>Sunday</v>
      </c>
      <c r="I4" t="str">
        <f t="shared" si="3"/>
        <v>Sun</v>
      </c>
      <c r="J4" t="str">
        <f t="shared" si="4"/>
        <v>day</v>
      </c>
      <c r="K4" t="str">
        <f t="shared" si="5"/>
        <v>Jul</v>
      </c>
      <c r="L4">
        <f t="shared" si="6"/>
        <v>2023</v>
      </c>
      <c r="M4" t="s">
        <v>29</v>
      </c>
      <c r="N4">
        <f t="shared" si="7"/>
        <v>51</v>
      </c>
      <c r="O4">
        <f t="shared" si="8"/>
        <v>17</v>
      </c>
      <c r="P4">
        <f t="shared" si="9"/>
        <v>10</v>
      </c>
      <c r="Q4">
        <v>82395</v>
      </c>
      <c r="R4">
        <v>96970</v>
      </c>
      <c r="S4" t="str">
        <f t="shared" si="10"/>
        <v>high target</v>
      </c>
      <c r="T4" t="str">
        <f t="shared" si="11"/>
        <v>high target</v>
      </c>
      <c r="U4" t="s">
        <v>30</v>
      </c>
      <c r="V4">
        <f t="shared" si="12"/>
        <v>16</v>
      </c>
      <c r="W4" t="str">
        <f t="shared" si="13"/>
        <v>CUSTOMER FOCUSED</v>
      </c>
      <c r="X4" t="str">
        <f t="shared" si="14"/>
        <v>customer focused</v>
      </c>
      <c r="Y4" t="str">
        <f t="shared" si="15"/>
        <v>Customer Focused</v>
      </c>
      <c r="Z4" s="14" t="s">
        <v>1193</v>
      </c>
      <c r="AA4" t="str">
        <f t="shared" si="16"/>
        <v>+411</v>
      </c>
      <c r="AB4" t="str">
        <f t="shared" si="17"/>
        <v>7484857</v>
      </c>
      <c r="AC4" s="9"/>
      <c r="AD4" s="9"/>
      <c r="AE4" s="9"/>
      <c r="AL4" s="3" t="s">
        <v>31</v>
      </c>
      <c r="AM4" s="3"/>
    </row>
    <row r="5" spans="1:39" ht="15">
      <c r="A5" t="s">
        <v>32</v>
      </c>
      <c r="B5" t="s">
        <v>33</v>
      </c>
      <c r="C5" t="s">
        <v>26</v>
      </c>
      <c r="D5" t="str">
        <f t="shared" si="0"/>
        <v>Tanya Joshi(E1004)-Marketing</v>
      </c>
      <c r="E5" t="str">
        <f t="shared" si="1"/>
        <v>Marketing</v>
      </c>
      <c r="F5" t="s">
        <v>34</v>
      </c>
      <c r="G5" t="s">
        <v>35</v>
      </c>
      <c r="H5" t="str">
        <f t="shared" si="2"/>
        <v>Sunday</v>
      </c>
      <c r="I5" t="str">
        <f t="shared" si="3"/>
        <v>Sun</v>
      </c>
      <c r="J5" t="str">
        <f t="shared" si="4"/>
        <v>day</v>
      </c>
      <c r="K5" t="str">
        <f t="shared" si="5"/>
        <v>Jul</v>
      </c>
      <c r="L5">
        <f t="shared" si="6"/>
        <v>2022</v>
      </c>
      <c r="M5" t="s">
        <v>36</v>
      </c>
      <c r="N5">
        <f t="shared" si="7"/>
        <v>48</v>
      </c>
      <c r="O5">
        <f t="shared" si="8"/>
        <v>13</v>
      </c>
      <c r="P5">
        <f t="shared" si="9"/>
        <v>8</v>
      </c>
      <c r="Q5">
        <v>53757</v>
      </c>
      <c r="R5">
        <v>62059</v>
      </c>
      <c r="S5" t="str">
        <f t="shared" si="10"/>
        <v>high target</v>
      </c>
      <c r="T5" t="str">
        <f t="shared" si="11"/>
        <v>mid target</v>
      </c>
      <c r="U5" t="s">
        <v>37</v>
      </c>
      <c r="V5">
        <f t="shared" si="12"/>
        <v>18</v>
      </c>
      <c r="W5" t="str">
        <f t="shared" si="13"/>
        <v>GOOD COMMUNICATION</v>
      </c>
      <c r="X5" t="str">
        <f t="shared" si="14"/>
        <v>good communication</v>
      </c>
      <c r="Y5" t="str">
        <f t="shared" si="15"/>
        <v>Good Communication</v>
      </c>
      <c r="AB5" t="e">
        <f t="shared" si="17"/>
        <v>#VALUE!</v>
      </c>
      <c r="AC5" s="5" t="s">
        <v>1165</v>
      </c>
      <c r="AD5">
        <f>SUM(Q2:Q301)</f>
        <v>21622710</v>
      </c>
      <c r="AL5" s="4" t="s">
        <v>38</v>
      </c>
      <c r="AM5" s="3"/>
    </row>
    <row r="6" spans="1:39" ht="15">
      <c r="A6" t="s">
        <v>39</v>
      </c>
      <c r="B6" t="s">
        <v>40</v>
      </c>
      <c r="C6" t="s">
        <v>41</v>
      </c>
      <c r="D6" t="str">
        <f t="shared" si="0"/>
        <v>Suresh Singh(E1005)-Finance</v>
      </c>
      <c r="E6" t="str">
        <f t="shared" si="1"/>
        <v>Finance</v>
      </c>
      <c r="F6" t="s">
        <v>34</v>
      </c>
      <c r="G6" t="s">
        <v>42</v>
      </c>
      <c r="H6" t="str">
        <f t="shared" si="2"/>
        <v>Tuesday</v>
      </c>
      <c r="I6" t="str">
        <f t="shared" si="3"/>
        <v>Tue</v>
      </c>
      <c r="J6" t="str">
        <f t="shared" si="4"/>
        <v>day</v>
      </c>
      <c r="K6" t="str">
        <f t="shared" si="5"/>
        <v>May</v>
      </c>
      <c r="L6">
        <f t="shared" si="6"/>
        <v>2024</v>
      </c>
      <c r="M6" t="s">
        <v>43</v>
      </c>
      <c r="N6">
        <f t="shared" si="7"/>
        <v>2</v>
      </c>
      <c r="O6">
        <f t="shared" si="8"/>
        <v>51</v>
      </c>
      <c r="P6">
        <f t="shared" si="9"/>
        <v>9</v>
      </c>
      <c r="Q6">
        <v>102931</v>
      </c>
      <c r="R6">
        <v>87823</v>
      </c>
      <c r="S6" t="str">
        <f t="shared" si="10"/>
        <v>high target</v>
      </c>
      <c r="T6" t="str">
        <f t="shared" si="11"/>
        <v>high target</v>
      </c>
      <c r="U6" t="s">
        <v>44</v>
      </c>
      <c r="V6">
        <f t="shared" si="12"/>
        <v>19</v>
      </c>
      <c r="W6" t="str">
        <f t="shared" si="13"/>
        <v>STRONG PRESENTATION</v>
      </c>
      <c r="X6" t="str">
        <f t="shared" si="14"/>
        <v>strong presentation</v>
      </c>
      <c r="Y6" t="str">
        <f t="shared" si="15"/>
        <v>Strong Presentation</v>
      </c>
      <c r="AA6" t="e">
        <f t="shared" si="16"/>
        <v>#VALUE!</v>
      </c>
      <c r="AB6" t="e">
        <f t="shared" si="17"/>
        <v>#VALUE!</v>
      </c>
      <c r="AC6" s="5" t="s">
        <v>1166</v>
      </c>
      <c r="AD6">
        <f>AVERAGE(Q2:Q301)</f>
        <v>72075.7</v>
      </c>
      <c r="AL6" s="4" t="s">
        <v>45</v>
      </c>
      <c r="AM6" s="3"/>
    </row>
    <row r="7" spans="1:39" ht="15">
      <c r="A7" t="s">
        <v>46</v>
      </c>
      <c r="B7" t="s">
        <v>47</v>
      </c>
      <c r="C7" t="s">
        <v>11</v>
      </c>
      <c r="D7" t="str">
        <f t="shared" si="0"/>
        <v>Neha Bansal(E1006)-Sales</v>
      </c>
      <c r="E7" t="str">
        <f t="shared" si="1"/>
        <v>Sales</v>
      </c>
      <c r="F7" t="s">
        <v>12</v>
      </c>
      <c r="G7" t="s">
        <v>48</v>
      </c>
      <c r="H7" t="str">
        <f t="shared" si="2"/>
        <v>Thursday</v>
      </c>
      <c r="I7" t="str">
        <f t="shared" si="3"/>
        <v>Thu</v>
      </c>
      <c r="J7" t="str">
        <f t="shared" si="4"/>
        <v>day</v>
      </c>
      <c r="K7" t="str">
        <f t="shared" si="5"/>
        <v>Jul</v>
      </c>
      <c r="L7">
        <f t="shared" si="6"/>
        <v>2024</v>
      </c>
      <c r="M7" t="s">
        <v>49</v>
      </c>
      <c r="N7">
        <f t="shared" si="7"/>
        <v>55</v>
      </c>
      <c r="O7">
        <f t="shared" si="8"/>
        <v>56</v>
      </c>
      <c r="P7">
        <f t="shared" si="9"/>
        <v>10</v>
      </c>
      <c r="Q7">
        <v>61301</v>
      </c>
      <c r="R7">
        <v>63700</v>
      </c>
      <c r="S7" t="str">
        <f t="shared" si="10"/>
        <v>high target</v>
      </c>
      <c r="T7" t="str">
        <f t="shared" si="11"/>
        <v>mid target</v>
      </c>
      <c r="U7" t="s">
        <v>22</v>
      </c>
      <c r="V7">
        <f t="shared" si="12"/>
        <v>13</v>
      </c>
      <c r="W7" t="str">
        <f t="shared" si="13"/>
        <v>FAST DELIVERY</v>
      </c>
      <c r="X7" t="str">
        <f t="shared" si="14"/>
        <v>fast delivery</v>
      </c>
      <c r="Y7" t="str">
        <f t="shared" si="15"/>
        <v>Fast Delivery</v>
      </c>
      <c r="AA7" t="e">
        <f t="shared" si="16"/>
        <v>#VALUE!</v>
      </c>
      <c r="AB7" t="e">
        <f t="shared" si="17"/>
        <v>#VALUE!</v>
      </c>
      <c r="AC7" s="5" t="s">
        <v>1167</v>
      </c>
      <c r="AD7">
        <f>COUNT(A1:U301)</f>
        <v>1800</v>
      </c>
      <c r="AL7" s="4" t="s">
        <v>50</v>
      </c>
      <c r="AM7" s="3"/>
    </row>
    <row r="8" spans="1:39" ht="15">
      <c r="A8" t="s">
        <v>51</v>
      </c>
      <c r="B8" t="s">
        <v>52</v>
      </c>
      <c r="C8" t="s">
        <v>53</v>
      </c>
      <c r="D8" t="str">
        <f t="shared" si="0"/>
        <v>Rahul Patel(E1007)-HR</v>
      </c>
      <c r="E8" t="str">
        <f t="shared" si="1"/>
        <v>HR</v>
      </c>
      <c r="F8" t="s">
        <v>12</v>
      </c>
      <c r="G8" t="s">
        <v>54</v>
      </c>
      <c r="H8" t="str">
        <f t="shared" si="2"/>
        <v>Sunday</v>
      </c>
      <c r="I8" t="str">
        <f t="shared" si="3"/>
        <v>Sun</v>
      </c>
      <c r="J8" t="str">
        <f t="shared" si="4"/>
        <v>day</v>
      </c>
      <c r="K8" t="str">
        <f t="shared" si="5"/>
        <v>Jun</v>
      </c>
      <c r="L8">
        <f t="shared" si="6"/>
        <v>2021</v>
      </c>
      <c r="M8" t="s">
        <v>55</v>
      </c>
      <c r="N8">
        <f t="shared" si="7"/>
        <v>6</v>
      </c>
      <c r="O8">
        <f t="shared" si="8"/>
        <v>55</v>
      </c>
      <c r="P8">
        <f t="shared" si="9"/>
        <v>8</v>
      </c>
      <c r="Q8">
        <v>68128</v>
      </c>
      <c r="R8">
        <v>64911</v>
      </c>
      <c r="S8" t="str">
        <f t="shared" si="10"/>
        <v>high target</v>
      </c>
      <c r="T8" t="str">
        <f t="shared" si="11"/>
        <v>mid target</v>
      </c>
      <c r="U8" t="s">
        <v>56</v>
      </c>
      <c r="V8">
        <f t="shared" si="12"/>
        <v>16</v>
      </c>
      <c r="W8" t="str">
        <f t="shared" si="13"/>
        <v>HELPFUL ATTITUDE</v>
      </c>
      <c r="X8" t="str">
        <f t="shared" si="14"/>
        <v>helpful attitude</v>
      </c>
      <c r="Y8" t="str">
        <f t="shared" si="15"/>
        <v>Helpful Attitude</v>
      </c>
      <c r="AA8" t="e">
        <f t="shared" si="16"/>
        <v>#VALUE!</v>
      </c>
      <c r="AB8" t="e">
        <f t="shared" si="17"/>
        <v>#VALUE!</v>
      </c>
      <c r="AC8" s="5" t="s">
        <v>1168</v>
      </c>
      <c r="AD8">
        <f>COUNTA(A1:U301)</f>
        <v>6319</v>
      </c>
      <c r="AL8" s="4" t="s">
        <v>57</v>
      </c>
      <c r="AM8" s="3"/>
    </row>
    <row r="9" spans="1:39" ht="15">
      <c r="A9" t="s">
        <v>58</v>
      </c>
      <c r="B9" t="s">
        <v>59</v>
      </c>
      <c r="C9" t="s">
        <v>53</v>
      </c>
      <c r="D9" t="str">
        <f t="shared" si="0"/>
        <v>Yash Reddy(E1008)-HR</v>
      </c>
      <c r="E9" t="str">
        <f t="shared" si="1"/>
        <v>HR</v>
      </c>
      <c r="F9" t="s">
        <v>34</v>
      </c>
      <c r="G9" t="s">
        <v>60</v>
      </c>
      <c r="H9" t="str">
        <f t="shared" si="2"/>
        <v>Thursday</v>
      </c>
      <c r="I9" t="str">
        <f t="shared" si="3"/>
        <v>Thu</v>
      </c>
      <c r="J9" t="str">
        <f t="shared" si="4"/>
        <v>day</v>
      </c>
      <c r="K9" t="str">
        <f t="shared" si="5"/>
        <v>Dec</v>
      </c>
      <c r="L9">
        <f t="shared" si="6"/>
        <v>2022</v>
      </c>
      <c r="M9" t="s">
        <v>61</v>
      </c>
      <c r="N9">
        <f t="shared" si="7"/>
        <v>17</v>
      </c>
      <c r="O9">
        <f t="shared" si="8"/>
        <v>42</v>
      </c>
      <c r="P9">
        <f t="shared" si="9"/>
        <v>8</v>
      </c>
      <c r="Q9">
        <v>75673</v>
      </c>
      <c r="R9">
        <v>85994</v>
      </c>
      <c r="S9" t="str">
        <f t="shared" si="10"/>
        <v>high target</v>
      </c>
      <c r="T9" t="str">
        <f t="shared" si="11"/>
        <v>high target</v>
      </c>
      <c r="U9" t="s">
        <v>15</v>
      </c>
      <c r="V9">
        <f t="shared" si="12"/>
        <v>20</v>
      </c>
      <c r="W9" t="str">
        <f t="shared" si="13"/>
        <v>EXCELLENT LEADERSHIP</v>
      </c>
      <c r="X9" t="str">
        <f t="shared" si="14"/>
        <v>excellent leadership</v>
      </c>
      <c r="Y9" t="str">
        <f t="shared" si="15"/>
        <v>Excellent Leadership</v>
      </c>
      <c r="AA9" t="e">
        <f t="shared" si="16"/>
        <v>#VALUE!</v>
      </c>
      <c r="AB9" t="e">
        <f t="shared" si="17"/>
        <v>#VALUE!</v>
      </c>
      <c r="AC9" s="5" t="s">
        <v>1169</v>
      </c>
      <c r="AL9" s="4" t="s">
        <v>62</v>
      </c>
      <c r="AM9" s="3"/>
    </row>
    <row r="10" spans="1:39" ht="15">
      <c r="A10" t="s">
        <v>63</v>
      </c>
      <c r="B10" t="s">
        <v>64</v>
      </c>
      <c r="C10" t="s">
        <v>53</v>
      </c>
      <c r="D10" t="str">
        <f t="shared" si="0"/>
        <v>Yash Joshi(E1009)-HR</v>
      </c>
      <c r="E10" t="str">
        <f t="shared" si="1"/>
        <v>HR</v>
      </c>
      <c r="F10" t="s">
        <v>65</v>
      </c>
      <c r="G10" t="s">
        <v>66</v>
      </c>
      <c r="H10" t="str">
        <f t="shared" si="2"/>
        <v>Saturday</v>
      </c>
      <c r="I10" t="str">
        <f t="shared" si="3"/>
        <v>Sat</v>
      </c>
      <c r="J10" t="str">
        <f t="shared" si="4"/>
        <v>day</v>
      </c>
      <c r="K10" t="str">
        <f t="shared" si="5"/>
        <v>Aug</v>
      </c>
      <c r="L10">
        <f t="shared" si="6"/>
        <v>2023</v>
      </c>
      <c r="M10" t="s">
        <v>67</v>
      </c>
      <c r="N10">
        <f t="shared" si="7"/>
        <v>59</v>
      </c>
      <c r="O10">
        <f t="shared" si="8"/>
        <v>17</v>
      </c>
      <c r="P10">
        <f t="shared" si="9"/>
        <v>9</v>
      </c>
      <c r="Q10">
        <v>81335</v>
      </c>
      <c r="R10">
        <v>81943</v>
      </c>
      <c r="S10" t="str">
        <f t="shared" si="10"/>
        <v>high target</v>
      </c>
      <c r="T10" t="str">
        <f t="shared" si="11"/>
        <v>high target</v>
      </c>
      <c r="U10" t="s">
        <v>68</v>
      </c>
      <c r="V10">
        <f t="shared" si="12"/>
        <v>13</v>
      </c>
      <c r="W10" t="str">
        <f t="shared" si="13"/>
        <v>GOOD TEAMWORK</v>
      </c>
      <c r="X10" t="str">
        <f t="shared" si="14"/>
        <v>good teamwork</v>
      </c>
      <c r="Y10" t="str">
        <f t="shared" si="15"/>
        <v>Good Teamwork</v>
      </c>
      <c r="AA10" t="e">
        <f t="shared" si="16"/>
        <v>#VALUE!</v>
      </c>
      <c r="AB10" t="e">
        <f t="shared" si="17"/>
        <v>#VALUE!</v>
      </c>
      <c r="AC10" s="5" t="s">
        <v>1170</v>
      </c>
      <c r="AD10">
        <f>MAX(K2:K302)</f>
        <v>0</v>
      </c>
      <c r="AL10" s="4" t="s">
        <v>69</v>
      </c>
      <c r="AM10" s="3"/>
    </row>
    <row r="11" spans="1:39" ht="15">
      <c r="A11" t="s">
        <v>70</v>
      </c>
      <c r="B11" t="s">
        <v>71</v>
      </c>
      <c r="C11" t="s">
        <v>53</v>
      </c>
      <c r="D11" t="str">
        <f t="shared" si="0"/>
        <v>Rohan Patel(E1010)-HR</v>
      </c>
      <c r="E11" t="str">
        <f t="shared" si="1"/>
        <v>HR</v>
      </c>
      <c r="F11" t="s">
        <v>72</v>
      </c>
      <c r="G11" t="s">
        <v>73</v>
      </c>
      <c r="H11" t="str">
        <f t="shared" si="2"/>
        <v>Sunday</v>
      </c>
      <c r="I11" t="str">
        <f t="shared" si="3"/>
        <v>Sun</v>
      </c>
      <c r="J11" t="str">
        <f t="shared" si="4"/>
        <v>day</v>
      </c>
      <c r="K11" t="str">
        <f t="shared" si="5"/>
        <v>Oct</v>
      </c>
      <c r="L11">
        <f t="shared" si="6"/>
        <v>2022</v>
      </c>
      <c r="M11" t="s">
        <v>74</v>
      </c>
      <c r="N11">
        <f t="shared" si="7"/>
        <v>4</v>
      </c>
      <c r="O11">
        <f t="shared" si="8"/>
        <v>17</v>
      </c>
      <c r="P11">
        <f t="shared" si="9"/>
        <v>9</v>
      </c>
      <c r="Q11">
        <v>59448</v>
      </c>
      <c r="R11">
        <v>53826</v>
      </c>
      <c r="S11" t="str">
        <f t="shared" si="10"/>
        <v>high target</v>
      </c>
      <c r="T11" t="str">
        <f t="shared" si="11"/>
        <v>mid target</v>
      </c>
      <c r="U11" t="s">
        <v>75</v>
      </c>
      <c r="V11">
        <f t="shared" si="12"/>
        <v>16</v>
      </c>
      <c r="W11" t="str">
        <f t="shared" si="13"/>
        <v>ACCURATE REPORTS</v>
      </c>
      <c r="X11" t="str">
        <f t="shared" si="14"/>
        <v>accurate reports</v>
      </c>
      <c r="Y11" t="str">
        <f t="shared" si="15"/>
        <v>Accurate Reports</v>
      </c>
      <c r="AA11" t="e">
        <f t="shared" si="16"/>
        <v>#VALUE!</v>
      </c>
      <c r="AB11" t="e">
        <f t="shared" si="17"/>
        <v>#VALUE!</v>
      </c>
      <c r="AC11" s="5" t="s">
        <v>1171</v>
      </c>
      <c r="AD11">
        <f>MIN(K2:K302)</f>
        <v>0</v>
      </c>
      <c r="AL11" s="4" t="s">
        <v>76</v>
      </c>
      <c r="AM11" s="3"/>
    </row>
    <row r="12" spans="1:39" ht="15">
      <c r="A12" t="s">
        <v>77</v>
      </c>
      <c r="B12" t="s">
        <v>78</v>
      </c>
      <c r="C12" t="s">
        <v>26</v>
      </c>
      <c r="D12" t="str">
        <f t="shared" si="0"/>
        <v>Yash Agarwal(E1011)-Marketing</v>
      </c>
      <c r="E12" t="str">
        <f t="shared" si="1"/>
        <v>Marketing</v>
      </c>
      <c r="F12" t="s">
        <v>79</v>
      </c>
      <c r="G12" t="s">
        <v>80</v>
      </c>
      <c r="H12" t="str">
        <f t="shared" si="2"/>
        <v>Wednesday</v>
      </c>
      <c r="I12" t="str">
        <f t="shared" si="3"/>
        <v>Wed</v>
      </c>
      <c r="J12" t="str">
        <f t="shared" si="4"/>
        <v>day</v>
      </c>
      <c r="K12" t="str">
        <f t="shared" si="5"/>
        <v>Oct</v>
      </c>
      <c r="L12">
        <f t="shared" si="6"/>
        <v>2021</v>
      </c>
      <c r="M12" t="s">
        <v>81</v>
      </c>
      <c r="N12">
        <f t="shared" si="7"/>
        <v>15</v>
      </c>
      <c r="O12">
        <f t="shared" si="8"/>
        <v>8</v>
      </c>
      <c r="P12">
        <f t="shared" si="9"/>
        <v>9</v>
      </c>
      <c r="Q12">
        <v>91042</v>
      </c>
      <c r="R12">
        <v>88823</v>
      </c>
      <c r="S12" t="str">
        <f t="shared" si="10"/>
        <v>high target</v>
      </c>
      <c r="T12" t="str">
        <f t="shared" si="11"/>
        <v>high target</v>
      </c>
      <c r="U12" t="s">
        <v>22</v>
      </c>
      <c r="V12">
        <f t="shared" si="12"/>
        <v>13</v>
      </c>
      <c r="W12" t="str">
        <f t="shared" si="13"/>
        <v>FAST DELIVERY</v>
      </c>
      <c r="X12" t="str">
        <f t="shared" si="14"/>
        <v>fast delivery</v>
      </c>
      <c r="Y12" t="str">
        <f t="shared" si="15"/>
        <v>Fast Delivery</v>
      </c>
      <c r="AA12" t="e">
        <f t="shared" si="16"/>
        <v>#VALUE!</v>
      </c>
      <c r="AB12" t="e">
        <f t="shared" si="17"/>
        <v>#VALUE!</v>
      </c>
      <c r="AC12" s="5" t="s">
        <v>1172</v>
      </c>
      <c r="AD12">
        <f>POWER(15,3)</f>
        <v>3375</v>
      </c>
      <c r="AL12" s="4" t="s">
        <v>82</v>
      </c>
      <c r="AM12" s="3"/>
    </row>
    <row r="13" spans="1:39">
      <c r="A13" t="s">
        <v>83</v>
      </c>
      <c r="B13" t="s">
        <v>84</v>
      </c>
      <c r="C13" t="s">
        <v>26</v>
      </c>
      <c r="D13" t="str">
        <f t="shared" si="0"/>
        <v>Manish Chopra(E1012)-Marketing</v>
      </c>
      <c r="E13" t="str">
        <f t="shared" si="1"/>
        <v>Marketing</v>
      </c>
      <c r="F13" t="s">
        <v>34</v>
      </c>
      <c r="G13" t="s">
        <v>85</v>
      </c>
      <c r="H13" t="str">
        <f t="shared" si="2"/>
        <v>Saturday</v>
      </c>
      <c r="I13" t="str">
        <f t="shared" si="3"/>
        <v>Sat</v>
      </c>
      <c r="J13" t="str">
        <f t="shared" si="4"/>
        <v>day</v>
      </c>
      <c r="K13" t="str">
        <f t="shared" si="5"/>
        <v>Mar</v>
      </c>
      <c r="L13">
        <f t="shared" si="6"/>
        <v>2022</v>
      </c>
      <c r="M13" t="s">
        <v>86</v>
      </c>
      <c r="N13">
        <f t="shared" si="7"/>
        <v>31</v>
      </c>
      <c r="O13">
        <f t="shared" si="8"/>
        <v>32</v>
      </c>
      <c r="P13">
        <f t="shared" si="9"/>
        <v>8</v>
      </c>
      <c r="Q13">
        <v>34044</v>
      </c>
      <c r="R13">
        <v>45957</v>
      </c>
      <c r="S13" t="str">
        <f t="shared" si="10"/>
        <v>low target</v>
      </c>
      <c r="T13" t="str">
        <f t="shared" si="11"/>
        <v>mid target</v>
      </c>
      <c r="U13" t="s">
        <v>213</v>
      </c>
      <c r="V13">
        <f t="shared" si="12"/>
        <v>17</v>
      </c>
      <c r="W13" t="str">
        <f t="shared" si="13"/>
        <v>POSITIVE ATTITUDE</v>
      </c>
      <c r="X13" t="str">
        <f t="shared" si="14"/>
        <v>positive attitude</v>
      </c>
      <c r="Y13" t="str">
        <f t="shared" si="15"/>
        <v>Positive Attitude</v>
      </c>
      <c r="AA13" t="e">
        <f t="shared" si="16"/>
        <v>#VALUE!</v>
      </c>
      <c r="AB13" t="e">
        <f t="shared" si="17"/>
        <v>#VALUE!</v>
      </c>
    </row>
    <row r="14" spans="1:39">
      <c r="A14" t="s">
        <v>87</v>
      </c>
      <c r="B14" t="s">
        <v>88</v>
      </c>
      <c r="C14" t="s">
        <v>53</v>
      </c>
      <c r="D14" t="str">
        <f t="shared" si="0"/>
        <v>Neha Kumar(E1013)-HR</v>
      </c>
      <c r="E14" t="str">
        <f t="shared" si="1"/>
        <v>HR</v>
      </c>
      <c r="F14" t="s">
        <v>89</v>
      </c>
      <c r="G14" t="s">
        <v>90</v>
      </c>
      <c r="H14" t="str">
        <f t="shared" si="2"/>
        <v>Monday</v>
      </c>
      <c r="I14" t="str">
        <f t="shared" si="3"/>
        <v>Mon</v>
      </c>
      <c r="J14" t="str">
        <f t="shared" si="4"/>
        <v>day</v>
      </c>
      <c r="K14" t="str">
        <f t="shared" si="5"/>
        <v>May</v>
      </c>
      <c r="L14">
        <f t="shared" si="6"/>
        <v>2024</v>
      </c>
      <c r="M14" t="s">
        <v>91</v>
      </c>
      <c r="N14">
        <f t="shared" si="7"/>
        <v>24</v>
      </c>
      <c r="O14">
        <f t="shared" si="8"/>
        <v>24</v>
      </c>
      <c r="P14">
        <f t="shared" si="9"/>
        <v>8</v>
      </c>
      <c r="Q14">
        <v>94726</v>
      </c>
      <c r="R14">
        <v>79052</v>
      </c>
      <c r="S14" t="str">
        <f t="shared" si="10"/>
        <v>high target</v>
      </c>
      <c r="T14" t="str">
        <f t="shared" si="11"/>
        <v>high target</v>
      </c>
      <c r="U14" t="s">
        <v>44</v>
      </c>
      <c r="V14">
        <f t="shared" si="12"/>
        <v>19</v>
      </c>
      <c r="W14" t="str">
        <f t="shared" si="13"/>
        <v>STRONG PRESENTATION</v>
      </c>
      <c r="X14" t="str">
        <f t="shared" si="14"/>
        <v>strong presentation</v>
      </c>
      <c r="Y14" t="str">
        <f t="shared" si="15"/>
        <v>Strong Presentation</v>
      </c>
      <c r="AA14" t="e">
        <f t="shared" si="16"/>
        <v>#VALUE!</v>
      </c>
      <c r="AB14" t="e">
        <f t="shared" si="17"/>
        <v>#VALUE!</v>
      </c>
      <c r="AC14" s="10" t="s">
        <v>1173</v>
      </c>
      <c r="AD14" s="11"/>
      <c r="AE14" s="11"/>
    </row>
    <row r="15" spans="1:39">
      <c r="A15" t="s">
        <v>92</v>
      </c>
      <c r="B15" t="s">
        <v>93</v>
      </c>
      <c r="C15" t="s">
        <v>11</v>
      </c>
      <c r="D15" t="str">
        <f t="shared" si="0"/>
        <v>Vikram Goyal(E1014)-Sales</v>
      </c>
      <c r="E15" t="str">
        <f t="shared" si="1"/>
        <v>Sales</v>
      </c>
      <c r="F15" t="s">
        <v>19</v>
      </c>
      <c r="G15" t="s">
        <v>94</v>
      </c>
      <c r="H15" t="str">
        <f t="shared" si="2"/>
        <v>Monday</v>
      </c>
      <c r="I15" t="str">
        <f t="shared" si="3"/>
        <v>Mon</v>
      </c>
      <c r="J15" t="str">
        <f t="shared" si="4"/>
        <v>day</v>
      </c>
      <c r="K15" t="str">
        <f t="shared" si="5"/>
        <v>Oct</v>
      </c>
      <c r="L15">
        <f t="shared" si="6"/>
        <v>2024</v>
      </c>
      <c r="M15" t="s">
        <v>95</v>
      </c>
      <c r="N15">
        <f t="shared" si="7"/>
        <v>17</v>
      </c>
      <c r="O15">
        <f t="shared" si="8"/>
        <v>48</v>
      </c>
      <c r="P15">
        <f t="shared" si="9"/>
        <v>10</v>
      </c>
      <c r="Q15">
        <v>97663</v>
      </c>
      <c r="R15">
        <v>90370</v>
      </c>
      <c r="S15" t="str">
        <f t="shared" si="10"/>
        <v>high target</v>
      </c>
      <c r="T15" t="str">
        <f t="shared" si="11"/>
        <v>high target</v>
      </c>
      <c r="U15" t="s">
        <v>37</v>
      </c>
      <c r="V15">
        <f t="shared" si="12"/>
        <v>18</v>
      </c>
      <c r="W15" t="str">
        <f t="shared" si="13"/>
        <v>GOOD COMMUNICATION</v>
      </c>
      <c r="X15" t="str">
        <f t="shared" si="14"/>
        <v>good communication</v>
      </c>
      <c r="Y15" t="str">
        <f t="shared" si="15"/>
        <v>Good Communication</v>
      </c>
      <c r="AA15" t="e">
        <f t="shared" si="16"/>
        <v>#VALUE!</v>
      </c>
      <c r="AB15" t="e">
        <f t="shared" si="17"/>
        <v>#VALUE!</v>
      </c>
      <c r="AC15" s="5" t="s">
        <v>1174</v>
      </c>
      <c r="AD15" s="7"/>
      <c r="AE15" s="7"/>
    </row>
    <row r="16" spans="1:39">
      <c r="A16" t="s">
        <v>96</v>
      </c>
      <c r="B16" t="s">
        <v>97</v>
      </c>
      <c r="C16" t="s">
        <v>53</v>
      </c>
      <c r="D16" t="str">
        <f t="shared" si="0"/>
        <v>Anjali Chopra(E1015)-HR</v>
      </c>
      <c r="E16" t="str">
        <f t="shared" si="1"/>
        <v>HR</v>
      </c>
      <c r="F16" t="s">
        <v>79</v>
      </c>
      <c r="G16" t="s">
        <v>98</v>
      </c>
      <c r="H16" t="str">
        <f t="shared" si="2"/>
        <v>Thursday</v>
      </c>
      <c r="I16" t="str">
        <f t="shared" si="3"/>
        <v>Thu</v>
      </c>
      <c r="J16" t="str">
        <f t="shared" si="4"/>
        <v>day</v>
      </c>
      <c r="K16" t="str">
        <f t="shared" si="5"/>
        <v>Jan</v>
      </c>
      <c r="L16">
        <f t="shared" si="6"/>
        <v>2021</v>
      </c>
      <c r="M16" t="s">
        <v>99</v>
      </c>
      <c r="N16">
        <f t="shared" si="7"/>
        <v>46</v>
      </c>
      <c r="O16">
        <f t="shared" si="8"/>
        <v>56</v>
      </c>
      <c r="P16">
        <f t="shared" si="9"/>
        <v>10</v>
      </c>
      <c r="Q16">
        <v>75067</v>
      </c>
      <c r="R16">
        <v>57261</v>
      </c>
      <c r="S16" t="str">
        <f t="shared" si="10"/>
        <v>high target</v>
      </c>
      <c r="T16" t="str">
        <f t="shared" si="11"/>
        <v>mid target</v>
      </c>
      <c r="U16" t="s">
        <v>30</v>
      </c>
      <c r="V16">
        <f t="shared" si="12"/>
        <v>16</v>
      </c>
      <c r="W16" t="str">
        <f t="shared" si="13"/>
        <v>CUSTOMER FOCUSED</v>
      </c>
      <c r="X16" t="str">
        <f t="shared" si="14"/>
        <v>customer focused</v>
      </c>
      <c r="Y16" t="str">
        <f t="shared" si="15"/>
        <v>Customer Focused</v>
      </c>
      <c r="AA16" t="e">
        <f t="shared" si="16"/>
        <v>#VALUE!</v>
      </c>
      <c r="AB16" t="e">
        <f t="shared" si="17"/>
        <v>#VALUE!</v>
      </c>
      <c r="AD16" s="7"/>
      <c r="AE16" s="7"/>
    </row>
    <row r="17" spans="1:31">
      <c r="A17" t="s">
        <v>100</v>
      </c>
      <c r="B17" t="s">
        <v>101</v>
      </c>
      <c r="C17" t="s">
        <v>11</v>
      </c>
      <c r="D17" t="str">
        <f t="shared" si="0"/>
        <v>Sneha Saxena(E1016)-Sales</v>
      </c>
      <c r="E17" t="str">
        <f t="shared" si="1"/>
        <v>Sales</v>
      </c>
      <c r="F17" t="s">
        <v>12</v>
      </c>
      <c r="G17" t="s">
        <v>102</v>
      </c>
      <c r="H17" t="str">
        <f t="shared" si="2"/>
        <v>Thursday</v>
      </c>
      <c r="I17" t="str">
        <f t="shared" si="3"/>
        <v>Thu</v>
      </c>
      <c r="J17" t="str">
        <f t="shared" si="4"/>
        <v>day</v>
      </c>
      <c r="K17" t="str">
        <f t="shared" si="5"/>
        <v>Aug</v>
      </c>
      <c r="L17">
        <f t="shared" si="6"/>
        <v>2024</v>
      </c>
      <c r="M17" t="s">
        <v>103</v>
      </c>
      <c r="N17">
        <f t="shared" si="7"/>
        <v>12</v>
      </c>
      <c r="O17">
        <f t="shared" si="8"/>
        <v>38</v>
      </c>
      <c r="P17">
        <f t="shared" si="9"/>
        <v>10</v>
      </c>
      <c r="Q17">
        <v>59520</v>
      </c>
      <c r="R17">
        <v>50016</v>
      </c>
      <c r="S17" t="str">
        <f t="shared" si="10"/>
        <v>high target</v>
      </c>
      <c r="T17" t="str">
        <f t="shared" si="11"/>
        <v>mid target</v>
      </c>
      <c r="U17" t="s">
        <v>30</v>
      </c>
      <c r="V17">
        <f t="shared" si="12"/>
        <v>16</v>
      </c>
      <c r="W17" t="str">
        <f t="shared" si="13"/>
        <v>CUSTOMER FOCUSED</v>
      </c>
      <c r="X17" t="str">
        <f t="shared" si="14"/>
        <v>customer focused</v>
      </c>
      <c r="Y17" t="str">
        <f t="shared" si="15"/>
        <v>Customer Focused</v>
      </c>
      <c r="AA17" t="e">
        <f t="shared" si="16"/>
        <v>#VALUE!</v>
      </c>
      <c r="AB17" t="e">
        <f t="shared" si="17"/>
        <v>#VALUE!</v>
      </c>
      <c r="AD17" s="7"/>
      <c r="AE17" s="7"/>
    </row>
    <row r="18" spans="1:31">
      <c r="A18" t="s">
        <v>104</v>
      </c>
      <c r="B18" t="s">
        <v>105</v>
      </c>
      <c r="C18" t="s">
        <v>11</v>
      </c>
      <c r="D18" t="str">
        <f t="shared" si="0"/>
        <v>Sneha Goyal(E1017)-Sales</v>
      </c>
      <c r="E18" t="str">
        <f t="shared" si="1"/>
        <v>Sales</v>
      </c>
      <c r="F18" t="s">
        <v>34</v>
      </c>
      <c r="G18" t="s">
        <v>106</v>
      </c>
      <c r="H18" t="str">
        <f t="shared" si="2"/>
        <v>Thursday</v>
      </c>
      <c r="I18" t="str">
        <f t="shared" si="3"/>
        <v>Thu</v>
      </c>
      <c r="J18" t="str">
        <f t="shared" si="4"/>
        <v>day</v>
      </c>
      <c r="K18" t="str">
        <f t="shared" si="5"/>
        <v>Sep</v>
      </c>
      <c r="L18">
        <f t="shared" si="6"/>
        <v>2023</v>
      </c>
      <c r="M18" t="s">
        <v>107</v>
      </c>
      <c r="N18">
        <f t="shared" si="7"/>
        <v>59</v>
      </c>
      <c r="O18">
        <f t="shared" si="8"/>
        <v>7</v>
      </c>
      <c r="P18">
        <f t="shared" si="9"/>
        <v>8</v>
      </c>
      <c r="Q18">
        <v>68941</v>
      </c>
      <c r="R18">
        <v>63788</v>
      </c>
      <c r="S18" t="str">
        <f t="shared" si="10"/>
        <v>high target</v>
      </c>
      <c r="T18" t="str">
        <f t="shared" si="11"/>
        <v>mid target</v>
      </c>
      <c r="U18" t="s">
        <v>75</v>
      </c>
      <c r="V18">
        <f t="shared" si="12"/>
        <v>16</v>
      </c>
      <c r="W18" t="str">
        <f t="shared" si="13"/>
        <v>ACCURATE REPORTS</v>
      </c>
      <c r="X18" t="str">
        <f t="shared" si="14"/>
        <v>accurate reports</v>
      </c>
      <c r="Y18" t="str">
        <f t="shared" si="15"/>
        <v>Accurate Reports</v>
      </c>
      <c r="AA18" t="e">
        <f t="shared" si="16"/>
        <v>#VALUE!</v>
      </c>
      <c r="AB18" t="e">
        <f t="shared" si="17"/>
        <v>#VALUE!</v>
      </c>
      <c r="AD18" s="7"/>
      <c r="AE18" s="7"/>
    </row>
    <row r="19" spans="1:31">
      <c r="A19" t="s">
        <v>108</v>
      </c>
      <c r="B19" t="s">
        <v>109</v>
      </c>
      <c r="C19" t="s">
        <v>11</v>
      </c>
      <c r="D19" t="str">
        <f t="shared" si="0"/>
        <v>Priya Nair(E1018)-Sales</v>
      </c>
      <c r="E19" t="str">
        <f t="shared" si="1"/>
        <v>Sales</v>
      </c>
      <c r="F19" t="s">
        <v>19</v>
      </c>
      <c r="G19" t="s">
        <v>110</v>
      </c>
      <c r="H19" t="str">
        <f t="shared" si="2"/>
        <v>Saturday</v>
      </c>
      <c r="I19" t="str">
        <f t="shared" si="3"/>
        <v>Sat</v>
      </c>
      <c r="J19" t="str">
        <f t="shared" si="4"/>
        <v>day</v>
      </c>
      <c r="K19" t="str">
        <f t="shared" si="5"/>
        <v>Sep</v>
      </c>
      <c r="L19">
        <f t="shared" si="6"/>
        <v>2023</v>
      </c>
      <c r="M19" t="s">
        <v>111</v>
      </c>
      <c r="N19">
        <f t="shared" si="7"/>
        <v>34</v>
      </c>
      <c r="O19">
        <f t="shared" si="8"/>
        <v>48</v>
      </c>
      <c r="P19">
        <f t="shared" si="9"/>
        <v>8</v>
      </c>
      <c r="Q19">
        <v>83430</v>
      </c>
      <c r="R19">
        <v>90189</v>
      </c>
      <c r="S19" t="str">
        <f t="shared" si="10"/>
        <v>high target</v>
      </c>
      <c r="T19" t="str">
        <f t="shared" si="11"/>
        <v>high target</v>
      </c>
      <c r="U19" t="s">
        <v>112</v>
      </c>
      <c r="V19">
        <f t="shared" si="12"/>
        <v>14</v>
      </c>
      <c r="W19" t="str">
        <f t="shared" si="13"/>
        <v>QUICK RESPONSE</v>
      </c>
      <c r="X19" t="str">
        <f t="shared" si="14"/>
        <v>quick response</v>
      </c>
      <c r="Y19" t="str">
        <f t="shared" si="15"/>
        <v>Quick Response</v>
      </c>
      <c r="AA19" t="e">
        <f t="shared" si="16"/>
        <v>#VALUE!</v>
      </c>
      <c r="AB19" t="e">
        <f t="shared" si="17"/>
        <v>#VALUE!</v>
      </c>
      <c r="AD19" s="7"/>
      <c r="AE19" s="7"/>
    </row>
    <row r="20" spans="1:31">
      <c r="A20" t="s">
        <v>113</v>
      </c>
      <c r="B20" t="s">
        <v>114</v>
      </c>
      <c r="C20" t="s">
        <v>53</v>
      </c>
      <c r="D20" t="str">
        <f t="shared" si="0"/>
        <v>Nidhi Agarwal(E1019)-HR</v>
      </c>
      <c r="E20" t="str">
        <f t="shared" si="1"/>
        <v>HR</v>
      </c>
      <c r="F20" t="s">
        <v>12</v>
      </c>
      <c r="G20" t="s">
        <v>115</v>
      </c>
      <c r="H20" t="str">
        <f t="shared" si="2"/>
        <v>Sunday</v>
      </c>
      <c r="I20" t="str">
        <f t="shared" si="3"/>
        <v>Sun</v>
      </c>
      <c r="J20" t="str">
        <f t="shared" si="4"/>
        <v>day</v>
      </c>
      <c r="K20" t="str">
        <f t="shared" si="5"/>
        <v>Dec</v>
      </c>
      <c r="L20">
        <f t="shared" si="6"/>
        <v>2023</v>
      </c>
      <c r="M20" t="s">
        <v>116</v>
      </c>
      <c r="N20">
        <f t="shared" si="7"/>
        <v>13</v>
      </c>
      <c r="O20">
        <f t="shared" si="8"/>
        <v>27</v>
      </c>
      <c r="P20">
        <f t="shared" si="9"/>
        <v>10</v>
      </c>
      <c r="Q20">
        <v>73525</v>
      </c>
      <c r="R20">
        <v>75343</v>
      </c>
      <c r="S20" t="str">
        <f t="shared" si="10"/>
        <v>high target</v>
      </c>
      <c r="T20" t="str">
        <f t="shared" si="11"/>
        <v>high target</v>
      </c>
      <c r="U20" t="s">
        <v>22</v>
      </c>
      <c r="V20">
        <f t="shared" si="12"/>
        <v>13</v>
      </c>
      <c r="W20" t="str">
        <f t="shared" si="13"/>
        <v>FAST DELIVERY</v>
      </c>
      <c r="X20" t="str">
        <f t="shared" si="14"/>
        <v>fast delivery</v>
      </c>
      <c r="Y20" t="str">
        <f t="shared" si="15"/>
        <v>Fast Delivery</v>
      </c>
      <c r="AA20" t="e">
        <f t="shared" si="16"/>
        <v>#VALUE!</v>
      </c>
      <c r="AB20" t="e">
        <f t="shared" si="17"/>
        <v>#VALUE!</v>
      </c>
      <c r="AD20" s="7"/>
      <c r="AE20" s="7"/>
    </row>
    <row r="21" spans="1:31">
      <c r="A21" t="s">
        <v>117</v>
      </c>
      <c r="B21" t="s">
        <v>118</v>
      </c>
      <c r="C21" t="s">
        <v>41</v>
      </c>
      <c r="D21" t="str">
        <f t="shared" si="0"/>
        <v>Anjali Bansal(E1020)-Finance</v>
      </c>
      <c r="E21" t="str">
        <f t="shared" si="1"/>
        <v>Finance</v>
      </c>
      <c r="F21" t="s">
        <v>79</v>
      </c>
      <c r="G21" t="s">
        <v>119</v>
      </c>
      <c r="H21" t="str">
        <f t="shared" si="2"/>
        <v>Sunday</v>
      </c>
      <c r="I21" t="str">
        <f t="shared" si="3"/>
        <v>Sun</v>
      </c>
      <c r="J21" t="str">
        <f t="shared" si="4"/>
        <v>day</v>
      </c>
      <c r="K21" t="str">
        <f t="shared" si="5"/>
        <v>Nov</v>
      </c>
      <c r="L21">
        <f t="shared" si="6"/>
        <v>2023</v>
      </c>
      <c r="M21" t="s">
        <v>120</v>
      </c>
      <c r="N21">
        <f t="shared" si="7"/>
        <v>15</v>
      </c>
      <c r="O21">
        <f t="shared" si="8"/>
        <v>7</v>
      </c>
      <c r="P21">
        <f t="shared" si="9"/>
        <v>9</v>
      </c>
      <c r="Q21">
        <v>43921</v>
      </c>
      <c r="R21">
        <v>54725</v>
      </c>
      <c r="S21" t="str">
        <f t="shared" si="10"/>
        <v>high target</v>
      </c>
      <c r="T21" t="str">
        <f t="shared" si="11"/>
        <v>mid target</v>
      </c>
      <c r="U21" t="s">
        <v>121</v>
      </c>
      <c r="V21">
        <f t="shared" si="12"/>
        <v>14</v>
      </c>
      <c r="W21" t="str">
        <f t="shared" si="13"/>
        <v>CREATIVE IDEAS</v>
      </c>
      <c r="X21" t="str">
        <f t="shared" si="14"/>
        <v>creative ideas</v>
      </c>
      <c r="Y21" t="str">
        <f t="shared" si="15"/>
        <v>Creative Ideas</v>
      </c>
      <c r="AA21" t="e">
        <f t="shared" si="16"/>
        <v>#VALUE!</v>
      </c>
      <c r="AB21" t="e">
        <f t="shared" si="17"/>
        <v>#VALUE!</v>
      </c>
      <c r="AD21" s="7"/>
      <c r="AE21" s="7"/>
    </row>
    <row r="22" spans="1:31">
      <c r="A22" t="s">
        <v>122</v>
      </c>
      <c r="B22" t="s">
        <v>123</v>
      </c>
      <c r="C22" t="s">
        <v>53</v>
      </c>
      <c r="D22" t="str">
        <f t="shared" si="0"/>
        <v>Amit Mishra(E1021)-HR</v>
      </c>
      <c r="E22" t="str">
        <f t="shared" si="1"/>
        <v>HR</v>
      </c>
      <c r="F22" t="s">
        <v>27</v>
      </c>
      <c r="G22" t="s">
        <v>124</v>
      </c>
      <c r="H22" t="str">
        <f t="shared" si="2"/>
        <v>Friday</v>
      </c>
      <c r="I22" t="str">
        <f t="shared" si="3"/>
        <v>Fri</v>
      </c>
      <c r="J22" t="str">
        <f t="shared" si="4"/>
        <v>day</v>
      </c>
      <c r="K22" t="str">
        <f t="shared" si="5"/>
        <v>Jan</v>
      </c>
      <c r="L22">
        <f t="shared" si="6"/>
        <v>2021</v>
      </c>
      <c r="M22" t="s">
        <v>125</v>
      </c>
      <c r="N22">
        <f t="shared" si="7"/>
        <v>40</v>
      </c>
      <c r="O22">
        <f t="shared" si="8"/>
        <v>45</v>
      </c>
      <c r="P22">
        <f t="shared" si="9"/>
        <v>8</v>
      </c>
      <c r="Q22">
        <v>43861</v>
      </c>
      <c r="R22">
        <v>43858</v>
      </c>
      <c r="S22" t="str">
        <f t="shared" si="10"/>
        <v>low target</v>
      </c>
      <c r="T22" t="str">
        <f t="shared" si="11"/>
        <v>mid target</v>
      </c>
      <c r="U22" t="s">
        <v>37</v>
      </c>
      <c r="V22">
        <f t="shared" si="12"/>
        <v>18</v>
      </c>
      <c r="W22" t="str">
        <f t="shared" si="13"/>
        <v>GOOD COMMUNICATION</v>
      </c>
      <c r="X22" t="str">
        <f t="shared" si="14"/>
        <v>good communication</v>
      </c>
      <c r="Y22" t="str">
        <f t="shared" si="15"/>
        <v>Good Communication</v>
      </c>
      <c r="AA22" t="e">
        <f t="shared" si="16"/>
        <v>#VALUE!</v>
      </c>
      <c r="AB22" t="e">
        <f t="shared" si="17"/>
        <v>#VALUE!</v>
      </c>
      <c r="AD22" s="7"/>
      <c r="AE22" s="7"/>
    </row>
    <row r="23" spans="1:31">
      <c r="A23" t="s">
        <v>126</v>
      </c>
      <c r="B23" t="s">
        <v>127</v>
      </c>
      <c r="C23" t="s">
        <v>41</v>
      </c>
      <c r="D23" t="str">
        <f t="shared" si="0"/>
        <v>Aditya Patel(E1022)-Finance</v>
      </c>
      <c r="E23" t="str">
        <f t="shared" si="1"/>
        <v>Finance</v>
      </c>
      <c r="F23" t="s">
        <v>19</v>
      </c>
      <c r="G23" t="s">
        <v>128</v>
      </c>
      <c r="H23" t="str">
        <f t="shared" si="2"/>
        <v>Sunday</v>
      </c>
      <c r="I23" t="str">
        <f t="shared" si="3"/>
        <v>Sun</v>
      </c>
      <c r="J23" t="str">
        <f t="shared" si="4"/>
        <v>day</v>
      </c>
      <c r="K23" t="str">
        <f t="shared" si="5"/>
        <v>Nov</v>
      </c>
      <c r="L23">
        <f t="shared" si="6"/>
        <v>2023</v>
      </c>
      <c r="M23" t="s">
        <v>129</v>
      </c>
      <c r="N23">
        <f t="shared" si="7"/>
        <v>42</v>
      </c>
      <c r="O23">
        <f t="shared" si="8"/>
        <v>17</v>
      </c>
      <c r="P23">
        <f t="shared" si="9"/>
        <v>8</v>
      </c>
      <c r="Q23">
        <v>70852</v>
      </c>
      <c r="R23">
        <v>71812</v>
      </c>
      <c r="S23" t="str">
        <f t="shared" si="10"/>
        <v>high target</v>
      </c>
      <c r="T23" t="str">
        <f t="shared" si="11"/>
        <v>high target</v>
      </c>
      <c r="U23" t="s">
        <v>44</v>
      </c>
      <c r="V23">
        <f t="shared" si="12"/>
        <v>19</v>
      </c>
      <c r="W23" t="str">
        <f t="shared" si="13"/>
        <v>STRONG PRESENTATION</v>
      </c>
      <c r="X23" t="str">
        <f t="shared" si="14"/>
        <v>strong presentation</v>
      </c>
      <c r="Y23" t="str">
        <f t="shared" si="15"/>
        <v>Strong Presentation</v>
      </c>
      <c r="AA23" t="e">
        <f t="shared" si="16"/>
        <v>#VALUE!</v>
      </c>
      <c r="AB23" t="e">
        <f t="shared" si="17"/>
        <v>#VALUE!</v>
      </c>
      <c r="AD23" s="7"/>
      <c r="AE23" s="7"/>
    </row>
    <row r="24" spans="1:31">
      <c r="A24" t="s">
        <v>130</v>
      </c>
      <c r="B24" t="s">
        <v>131</v>
      </c>
      <c r="C24" t="s">
        <v>26</v>
      </c>
      <c r="D24" t="str">
        <f t="shared" si="0"/>
        <v>Arjun Mishra(E1023)-Marketing</v>
      </c>
      <c r="E24" t="str">
        <f t="shared" si="1"/>
        <v>Marketing</v>
      </c>
      <c r="F24" t="s">
        <v>27</v>
      </c>
      <c r="G24" t="s">
        <v>132</v>
      </c>
      <c r="H24" t="str">
        <f t="shared" si="2"/>
        <v>Sunday</v>
      </c>
      <c r="I24" t="str">
        <f t="shared" si="3"/>
        <v>Sun</v>
      </c>
      <c r="J24" t="str">
        <f t="shared" si="4"/>
        <v>day</v>
      </c>
      <c r="K24" t="str">
        <f t="shared" si="5"/>
        <v>Aug</v>
      </c>
      <c r="L24">
        <f t="shared" si="6"/>
        <v>2023</v>
      </c>
      <c r="M24" t="s">
        <v>133</v>
      </c>
      <c r="N24">
        <f t="shared" si="7"/>
        <v>6</v>
      </c>
      <c r="O24">
        <f t="shared" si="8"/>
        <v>12</v>
      </c>
      <c r="P24">
        <f t="shared" si="9"/>
        <v>9</v>
      </c>
      <c r="Q24">
        <v>59601</v>
      </c>
      <c r="R24">
        <v>46352</v>
      </c>
      <c r="S24" t="str">
        <f t="shared" si="10"/>
        <v>low target</v>
      </c>
      <c r="T24" t="str">
        <f t="shared" si="11"/>
        <v>mid target</v>
      </c>
      <c r="U24" t="s">
        <v>121</v>
      </c>
      <c r="V24">
        <f t="shared" si="12"/>
        <v>14</v>
      </c>
      <c r="W24" t="str">
        <f t="shared" si="13"/>
        <v>CREATIVE IDEAS</v>
      </c>
      <c r="X24" t="str">
        <f t="shared" si="14"/>
        <v>creative ideas</v>
      </c>
      <c r="Y24" t="str">
        <f t="shared" si="15"/>
        <v>Creative Ideas</v>
      </c>
      <c r="AA24" t="e">
        <f t="shared" si="16"/>
        <v>#VALUE!</v>
      </c>
      <c r="AB24" t="e">
        <f t="shared" si="17"/>
        <v>#VALUE!</v>
      </c>
    </row>
    <row r="25" spans="1:31">
      <c r="A25" t="s">
        <v>134</v>
      </c>
      <c r="B25" t="s">
        <v>135</v>
      </c>
      <c r="C25" t="s">
        <v>26</v>
      </c>
      <c r="D25" t="str">
        <f t="shared" si="0"/>
        <v>Nisha Chopra(E1024)-Marketing</v>
      </c>
      <c r="E25" t="str">
        <f t="shared" si="1"/>
        <v>Marketing</v>
      </c>
      <c r="F25" t="s">
        <v>72</v>
      </c>
      <c r="G25" t="s">
        <v>136</v>
      </c>
      <c r="H25" t="str">
        <f t="shared" si="2"/>
        <v>Friday</v>
      </c>
      <c r="I25" t="str">
        <f t="shared" si="3"/>
        <v>Fri</v>
      </c>
      <c r="J25" t="str">
        <f t="shared" si="4"/>
        <v>day</v>
      </c>
      <c r="K25" t="str">
        <f t="shared" si="5"/>
        <v>Oct</v>
      </c>
      <c r="L25">
        <f t="shared" si="6"/>
        <v>2024</v>
      </c>
      <c r="M25" t="s">
        <v>137</v>
      </c>
      <c r="N25">
        <f t="shared" si="7"/>
        <v>6</v>
      </c>
      <c r="O25">
        <f t="shared" si="8"/>
        <v>41</v>
      </c>
      <c r="P25">
        <f t="shared" si="9"/>
        <v>10</v>
      </c>
      <c r="Q25">
        <v>55358</v>
      </c>
      <c r="R25">
        <v>43972</v>
      </c>
      <c r="S25" t="str">
        <f t="shared" si="10"/>
        <v>low target</v>
      </c>
      <c r="T25" t="str">
        <f t="shared" si="11"/>
        <v>mid target</v>
      </c>
      <c r="U25" t="s">
        <v>22</v>
      </c>
      <c r="V25">
        <f t="shared" si="12"/>
        <v>13</v>
      </c>
      <c r="W25" t="str">
        <f t="shared" si="13"/>
        <v>FAST DELIVERY</v>
      </c>
      <c r="X25" t="str">
        <f t="shared" si="14"/>
        <v>fast delivery</v>
      </c>
      <c r="Y25" t="str">
        <f t="shared" si="15"/>
        <v>Fast Delivery</v>
      </c>
      <c r="AA25" t="e">
        <f t="shared" si="16"/>
        <v>#VALUE!</v>
      </c>
      <c r="AB25" t="e">
        <f t="shared" si="17"/>
        <v>#VALUE!</v>
      </c>
    </row>
    <row r="26" spans="1:31">
      <c r="A26" t="s">
        <v>138</v>
      </c>
      <c r="B26" t="s">
        <v>139</v>
      </c>
      <c r="C26" t="s">
        <v>53</v>
      </c>
      <c r="D26" t="str">
        <f t="shared" si="0"/>
        <v>Rohan Singh(E1025)-HR</v>
      </c>
      <c r="E26" t="str">
        <f t="shared" si="1"/>
        <v>HR</v>
      </c>
      <c r="F26" t="s">
        <v>27</v>
      </c>
      <c r="G26" t="s">
        <v>140</v>
      </c>
      <c r="H26" t="str">
        <f t="shared" si="2"/>
        <v>Tuesday</v>
      </c>
      <c r="I26" t="str">
        <f t="shared" si="3"/>
        <v>Tue</v>
      </c>
      <c r="J26" t="str">
        <f t="shared" si="4"/>
        <v>day</v>
      </c>
      <c r="K26" t="str">
        <f t="shared" si="5"/>
        <v>Jan</v>
      </c>
      <c r="L26">
        <f t="shared" si="6"/>
        <v>2022</v>
      </c>
      <c r="M26" t="s">
        <v>141</v>
      </c>
      <c r="N26">
        <f t="shared" si="7"/>
        <v>8</v>
      </c>
      <c r="O26">
        <f t="shared" si="8"/>
        <v>28</v>
      </c>
      <c r="P26">
        <f t="shared" si="9"/>
        <v>10</v>
      </c>
      <c r="Q26">
        <v>64673</v>
      </c>
      <c r="R26">
        <v>67648</v>
      </c>
      <c r="S26" t="str">
        <f t="shared" si="10"/>
        <v>high target</v>
      </c>
      <c r="T26" t="str">
        <f t="shared" si="11"/>
        <v>mid target</v>
      </c>
      <c r="U26" t="s">
        <v>142</v>
      </c>
      <c r="V26">
        <f t="shared" si="12"/>
        <v>17</v>
      </c>
      <c r="W26" t="str">
        <f t="shared" si="13"/>
        <v>NEEDS IMPROVEMENT</v>
      </c>
      <c r="X26" t="str">
        <f t="shared" si="14"/>
        <v>needs improvement</v>
      </c>
      <c r="Y26" t="str">
        <f t="shared" si="15"/>
        <v>Needs Improvement</v>
      </c>
      <c r="AA26" t="e">
        <f t="shared" si="16"/>
        <v>#VALUE!</v>
      </c>
      <c r="AB26" t="e">
        <f t="shared" si="17"/>
        <v>#VALUE!</v>
      </c>
    </row>
    <row r="27" spans="1:31">
      <c r="A27" t="s">
        <v>143</v>
      </c>
      <c r="B27" t="s">
        <v>144</v>
      </c>
      <c r="C27" t="s">
        <v>11</v>
      </c>
      <c r="D27" t="str">
        <f t="shared" si="0"/>
        <v>Deepak Nair(E1026)-Sales</v>
      </c>
      <c r="E27" t="str">
        <f t="shared" si="1"/>
        <v>Sales</v>
      </c>
      <c r="F27" t="s">
        <v>79</v>
      </c>
      <c r="G27" t="s">
        <v>145</v>
      </c>
      <c r="H27" t="str">
        <f t="shared" si="2"/>
        <v>Friday</v>
      </c>
      <c r="I27" t="str">
        <f t="shared" si="3"/>
        <v>Fri</v>
      </c>
      <c r="J27" t="str">
        <f t="shared" si="4"/>
        <v>day</v>
      </c>
      <c r="K27" t="str">
        <f t="shared" si="5"/>
        <v>Feb</v>
      </c>
      <c r="L27">
        <f t="shared" si="6"/>
        <v>2024</v>
      </c>
      <c r="M27" t="s">
        <v>146</v>
      </c>
      <c r="N27">
        <f t="shared" si="7"/>
        <v>41</v>
      </c>
      <c r="O27">
        <f t="shared" si="8"/>
        <v>3</v>
      </c>
      <c r="P27">
        <f t="shared" si="9"/>
        <v>8</v>
      </c>
      <c r="Q27">
        <v>61394</v>
      </c>
      <c r="R27">
        <v>75427</v>
      </c>
      <c r="S27" t="str">
        <f t="shared" si="10"/>
        <v>high target</v>
      </c>
      <c r="T27" t="str">
        <f t="shared" si="11"/>
        <v>high target</v>
      </c>
      <c r="U27" t="s">
        <v>37</v>
      </c>
      <c r="V27">
        <f t="shared" si="12"/>
        <v>18</v>
      </c>
      <c r="W27" t="str">
        <f t="shared" si="13"/>
        <v>GOOD COMMUNICATION</v>
      </c>
      <c r="X27" t="str">
        <f t="shared" si="14"/>
        <v>good communication</v>
      </c>
      <c r="Y27" t="str">
        <f t="shared" si="15"/>
        <v>Good Communication</v>
      </c>
      <c r="AA27" t="e">
        <f t="shared" si="16"/>
        <v>#VALUE!</v>
      </c>
      <c r="AB27" t="e">
        <f t="shared" si="17"/>
        <v>#VALUE!</v>
      </c>
    </row>
    <row r="28" spans="1:31">
      <c r="A28" t="s">
        <v>147</v>
      </c>
      <c r="B28" t="s">
        <v>148</v>
      </c>
      <c r="C28" t="s">
        <v>53</v>
      </c>
      <c r="D28" t="str">
        <f t="shared" si="0"/>
        <v>Madhuri Nair(E1027)-HR</v>
      </c>
      <c r="E28" t="str">
        <f t="shared" si="1"/>
        <v>HR</v>
      </c>
      <c r="F28" t="s">
        <v>89</v>
      </c>
      <c r="G28" t="s">
        <v>149</v>
      </c>
      <c r="H28" t="str">
        <f t="shared" si="2"/>
        <v>Friday</v>
      </c>
      <c r="I28" t="str">
        <f t="shared" si="3"/>
        <v>Fri</v>
      </c>
      <c r="J28" t="str">
        <f t="shared" si="4"/>
        <v>day</v>
      </c>
      <c r="K28" t="str">
        <f t="shared" si="5"/>
        <v>Sep</v>
      </c>
      <c r="L28">
        <f t="shared" si="6"/>
        <v>2023</v>
      </c>
      <c r="M28" t="s">
        <v>150</v>
      </c>
      <c r="N28">
        <f t="shared" si="7"/>
        <v>55</v>
      </c>
      <c r="O28">
        <f t="shared" si="8"/>
        <v>13</v>
      </c>
      <c r="P28">
        <f t="shared" si="9"/>
        <v>9</v>
      </c>
      <c r="Q28">
        <v>55124</v>
      </c>
      <c r="R28">
        <v>66282</v>
      </c>
      <c r="S28" t="str">
        <f t="shared" si="10"/>
        <v>high target</v>
      </c>
      <c r="T28" t="str">
        <f t="shared" si="11"/>
        <v>mid target</v>
      </c>
      <c r="U28" t="s">
        <v>112</v>
      </c>
      <c r="V28">
        <f t="shared" si="12"/>
        <v>14</v>
      </c>
      <c r="W28" t="str">
        <f t="shared" si="13"/>
        <v>QUICK RESPONSE</v>
      </c>
      <c r="X28" t="str">
        <f t="shared" si="14"/>
        <v>quick response</v>
      </c>
      <c r="Y28" t="str">
        <f t="shared" si="15"/>
        <v>Quick Response</v>
      </c>
      <c r="AA28" t="e">
        <f t="shared" si="16"/>
        <v>#VALUE!</v>
      </c>
      <c r="AB28" t="e">
        <f t="shared" si="17"/>
        <v>#VALUE!</v>
      </c>
    </row>
    <row r="29" spans="1:31">
      <c r="A29" t="s">
        <v>151</v>
      </c>
      <c r="B29" t="s">
        <v>152</v>
      </c>
      <c r="C29" t="s">
        <v>26</v>
      </c>
      <c r="D29" t="str">
        <f t="shared" si="0"/>
        <v>Suresh Sharma(E1028)-Marketing</v>
      </c>
      <c r="E29" t="str">
        <f t="shared" si="1"/>
        <v>Marketing</v>
      </c>
      <c r="F29" t="s">
        <v>12</v>
      </c>
      <c r="G29" t="s">
        <v>153</v>
      </c>
      <c r="H29" t="str">
        <f t="shared" si="2"/>
        <v>Friday</v>
      </c>
      <c r="I29" t="str">
        <f t="shared" si="3"/>
        <v>Fri</v>
      </c>
      <c r="J29" t="str">
        <f t="shared" si="4"/>
        <v>day</v>
      </c>
      <c r="K29" t="str">
        <f t="shared" si="5"/>
        <v>Jul</v>
      </c>
      <c r="L29">
        <f t="shared" si="6"/>
        <v>2023</v>
      </c>
      <c r="M29" t="s">
        <v>154</v>
      </c>
      <c r="N29">
        <f t="shared" si="7"/>
        <v>44</v>
      </c>
      <c r="O29">
        <f t="shared" si="8"/>
        <v>27</v>
      </c>
      <c r="P29">
        <f t="shared" si="9"/>
        <v>9</v>
      </c>
      <c r="Q29">
        <v>104768</v>
      </c>
      <c r="R29">
        <v>87874</v>
      </c>
      <c r="S29" t="str">
        <f t="shared" si="10"/>
        <v>high target</v>
      </c>
      <c r="T29" t="str">
        <f t="shared" si="11"/>
        <v>high target</v>
      </c>
      <c r="U29" t="s">
        <v>112</v>
      </c>
      <c r="V29">
        <f t="shared" si="12"/>
        <v>14</v>
      </c>
      <c r="W29" t="str">
        <f t="shared" si="13"/>
        <v>QUICK RESPONSE</v>
      </c>
      <c r="X29" t="str">
        <f t="shared" si="14"/>
        <v>quick response</v>
      </c>
      <c r="Y29" t="str">
        <f t="shared" si="15"/>
        <v>Quick Response</v>
      </c>
      <c r="AA29" t="e">
        <f t="shared" si="16"/>
        <v>#VALUE!</v>
      </c>
      <c r="AB29" t="e">
        <f t="shared" si="17"/>
        <v>#VALUE!</v>
      </c>
    </row>
    <row r="30" spans="1:31">
      <c r="A30" t="s">
        <v>155</v>
      </c>
      <c r="B30" t="s">
        <v>156</v>
      </c>
      <c r="C30" t="s">
        <v>53</v>
      </c>
      <c r="D30" t="str">
        <f t="shared" si="0"/>
        <v>Karan Gupta(E1029)-HR</v>
      </c>
      <c r="E30" t="str">
        <f t="shared" si="1"/>
        <v>HR</v>
      </c>
      <c r="F30" t="s">
        <v>72</v>
      </c>
      <c r="G30" t="s">
        <v>157</v>
      </c>
      <c r="H30" t="str">
        <f t="shared" si="2"/>
        <v>Monday</v>
      </c>
      <c r="I30" t="str">
        <f t="shared" si="3"/>
        <v>Mon</v>
      </c>
      <c r="J30" t="str">
        <f t="shared" si="4"/>
        <v>day</v>
      </c>
      <c r="K30" t="str">
        <f t="shared" si="5"/>
        <v>Apr</v>
      </c>
      <c r="L30">
        <f t="shared" si="6"/>
        <v>2024</v>
      </c>
      <c r="M30" t="s">
        <v>158</v>
      </c>
      <c r="N30">
        <f t="shared" si="7"/>
        <v>3</v>
      </c>
      <c r="O30">
        <f t="shared" si="8"/>
        <v>34</v>
      </c>
      <c r="P30">
        <f t="shared" si="9"/>
        <v>10</v>
      </c>
      <c r="Q30">
        <v>94571</v>
      </c>
      <c r="R30">
        <v>89019</v>
      </c>
      <c r="S30" t="str">
        <f t="shared" si="10"/>
        <v>high target</v>
      </c>
      <c r="T30" t="str">
        <f t="shared" si="11"/>
        <v>high target</v>
      </c>
      <c r="U30" t="s">
        <v>159</v>
      </c>
      <c r="V30">
        <f t="shared" si="12"/>
        <v>17</v>
      </c>
      <c r="W30" t="str">
        <f t="shared" si="13"/>
        <v>EXCELLENT SERVICE</v>
      </c>
      <c r="X30" t="str">
        <f t="shared" si="14"/>
        <v>excellent service</v>
      </c>
      <c r="Y30" t="str">
        <f t="shared" si="15"/>
        <v>Excellent Service</v>
      </c>
      <c r="AA30" t="e">
        <f t="shared" si="16"/>
        <v>#VALUE!</v>
      </c>
      <c r="AB30" t="e">
        <f t="shared" si="17"/>
        <v>#VALUE!</v>
      </c>
    </row>
    <row r="31" spans="1:31">
      <c r="A31" t="s">
        <v>160</v>
      </c>
      <c r="B31" t="s">
        <v>161</v>
      </c>
      <c r="C31" t="s">
        <v>26</v>
      </c>
      <c r="D31" t="str">
        <f t="shared" si="0"/>
        <v>Priya Mishra(E1030)-Marketing</v>
      </c>
      <c r="E31" t="str">
        <f t="shared" si="1"/>
        <v>Marketing</v>
      </c>
      <c r="F31" t="s">
        <v>65</v>
      </c>
      <c r="G31" t="s">
        <v>162</v>
      </c>
      <c r="H31" t="str">
        <f t="shared" si="2"/>
        <v>Tuesday</v>
      </c>
      <c r="I31" t="str">
        <f t="shared" si="3"/>
        <v>Tue</v>
      </c>
      <c r="J31" t="str">
        <f t="shared" si="4"/>
        <v>day</v>
      </c>
      <c r="K31" t="str">
        <f t="shared" si="5"/>
        <v>Apr</v>
      </c>
      <c r="L31">
        <f t="shared" si="6"/>
        <v>2021</v>
      </c>
      <c r="M31" t="s">
        <v>163</v>
      </c>
      <c r="N31">
        <f t="shared" si="7"/>
        <v>54</v>
      </c>
      <c r="O31">
        <f t="shared" si="8"/>
        <v>5</v>
      </c>
      <c r="P31">
        <f t="shared" si="9"/>
        <v>10</v>
      </c>
      <c r="Q31">
        <v>41668</v>
      </c>
      <c r="R31">
        <v>52178</v>
      </c>
      <c r="S31" t="str">
        <f t="shared" si="10"/>
        <v>high target</v>
      </c>
      <c r="T31" t="str">
        <f t="shared" si="11"/>
        <v>mid target</v>
      </c>
      <c r="U31" t="s">
        <v>15</v>
      </c>
      <c r="V31">
        <f t="shared" si="12"/>
        <v>20</v>
      </c>
      <c r="W31" t="str">
        <f t="shared" si="13"/>
        <v>EXCELLENT LEADERSHIP</v>
      </c>
      <c r="X31" t="str">
        <f t="shared" si="14"/>
        <v>excellent leadership</v>
      </c>
      <c r="Y31" t="str">
        <f t="shared" si="15"/>
        <v>Excellent Leadership</v>
      </c>
      <c r="AA31" t="e">
        <f t="shared" si="16"/>
        <v>#VALUE!</v>
      </c>
      <c r="AB31" t="e">
        <f t="shared" si="17"/>
        <v>#VALUE!</v>
      </c>
    </row>
    <row r="32" spans="1:31">
      <c r="A32" t="s">
        <v>164</v>
      </c>
      <c r="B32" t="s">
        <v>165</v>
      </c>
      <c r="C32" t="s">
        <v>26</v>
      </c>
      <c r="D32" t="str">
        <f t="shared" si="0"/>
        <v>Rahul Nair(E1031)-Marketing</v>
      </c>
      <c r="E32" t="str">
        <f t="shared" si="1"/>
        <v>Marketing</v>
      </c>
      <c r="F32" t="s">
        <v>19</v>
      </c>
      <c r="G32" t="s">
        <v>166</v>
      </c>
      <c r="H32" t="str">
        <f t="shared" si="2"/>
        <v>Tuesday</v>
      </c>
      <c r="I32" t="str">
        <f t="shared" si="3"/>
        <v>Tue</v>
      </c>
      <c r="J32" t="str">
        <f t="shared" si="4"/>
        <v>day</v>
      </c>
      <c r="K32" t="str">
        <f t="shared" si="5"/>
        <v>Mar</v>
      </c>
      <c r="L32">
        <f t="shared" si="6"/>
        <v>2024</v>
      </c>
      <c r="M32" t="s">
        <v>167</v>
      </c>
      <c r="N32">
        <f t="shared" si="7"/>
        <v>38</v>
      </c>
      <c r="O32">
        <f t="shared" si="8"/>
        <v>37</v>
      </c>
      <c r="P32">
        <f t="shared" si="9"/>
        <v>8</v>
      </c>
      <c r="Q32">
        <v>32976</v>
      </c>
      <c r="R32">
        <v>42604</v>
      </c>
      <c r="S32" t="str">
        <f t="shared" si="10"/>
        <v>low target</v>
      </c>
      <c r="T32" t="str">
        <f t="shared" si="11"/>
        <v>mid target</v>
      </c>
      <c r="U32" t="s">
        <v>168</v>
      </c>
      <c r="V32">
        <f t="shared" si="12"/>
        <v>17</v>
      </c>
      <c r="W32" t="str">
        <f t="shared" si="13"/>
        <v>DETAILED ANALYSIS</v>
      </c>
      <c r="X32" t="str">
        <f t="shared" si="14"/>
        <v>detailed analysis</v>
      </c>
      <c r="Y32" t="str">
        <f t="shared" si="15"/>
        <v>Detailed Analysis</v>
      </c>
      <c r="AA32" t="e">
        <f t="shared" si="16"/>
        <v>#VALUE!</v>
      </c>
      <c r="AB32" t="e">
        <f t="shared" si="17"/>
        <v>#VALUE!</v>
      </c>
    </row>
    <row r="33" spans="1:28">
      <c r="A33" t="s">
        <v>169</v>
      </c>
      <c r="B33" t="s">
        <v>170</v>
      </c>
      <c r="C33" t="s">
        <v>41</v>
      </c>
      <c r="D33" t="str">
        <f t="shared" si="0"/>
        <v>Nidhi Mishra(E1032)-Finance</v>
      </c>
      <c r="E33" t="str">
        <f t="shared" si="1"/>
        <v>Finance</v>
      </c>
      <c r="F33" t="s">
        <v>12</v>
      </c>
      <c r="G33" t="s">
        <v>171</v>
      </c>
      <c r="H33" t="str">
        <f t="shared" si="2"/>
        <v>Wednesday</v>
      </c>
      <c r="I33" t="str">
        <f t="shared" si="3"/>
        <v>Wed</v>
      </c>
      <c r="J33" t="str">
        <f t="shared" si="4"/>
        <v>day</v>
      </c>
      <c r="K33" t="str">
        <f t="shared" si="5"/>
        <v>Feb</v>
      </c>
      <c r="L33">
        <f t="shared" si="6"/>
        <v>2022</v>
      </c>
      <c r="M33" t="s">
        <v>172</v>
      </c>
      <c r="N33">
        <f t="shared" si="7"/>
        <v>20</v>
      </c>
      <c r="O33">
        <f t="shared" si="8"/>
        <v>45</v>
      </c>
      <c r="P33">
        <f t="shared" si="9"/>
        <v>10</v>
      </c>
      <c r="Q33">
        <v>58049</v>
      </c>
      <c r="R33">
        <v>55642</v>
      </c>
      <c r="S33" t="str">
        <f t="shared" si="10"/>
        <v>high target</v>
      </c>
      <c r="T33" t="str">
        <f t="shared" si="11"/>
        <v>mid target</v>
      </c>
      <c r="U33" t="s">
        <v>168</v>
      </c>
      <c r="V33">
        <f t="shared" si="12"/>
        <v>17</v>
      </c>
      <c r="W33" t="str">
        <f t="shared" si="13"/>
        <v>DETAILED ANALYSIS</v>
      </c>
      <c r="X33" t="str">
        <f t="shared" si="14"/>
        <v>detailed analysis</v>
      </c>
      <c r="Y33" t="str">
        <f t="shared" si="15"/>
        <v>Detailed Analysis</v>
      </c>
      <c r="AA33" t="e">
        <f t="shared" si="16"/>
        <v>#VALUE!</v>
      </c>
      <c r="AB33" t="e">
        <f t="shared" si="17"/>
        <v>#VALUE!</v>
      </c>
    </row>
    <row r="34" spans="1:28">
      <c r="A34" t="s">
        <v>173</v>
      </c>
      <c r="B34" t="s">
        <v>174</v>
      </c>
      <c r="C34" t="s">
        <v>26</v>
      </c>
      <c r="D34" t="str">
        <f t="shared" si="0"/>
        <v>Arjun Gupta(E1033)-Marketing</v>
      </c>
      <c r="E34" t="str">
        <f t="shared" si="1"/>
        <v>Marketing</v>
      </c>
      <c r="F34" t="s">
        <v>34</v>
      </c>
      <c r="G34" t="s">
        <v>175</v>
      </c>
      <c r="H34" t="str">
        <f t="shared" si="2"/>
        <v>Saturday</v>
      </c>
      <c r="I34" t="str">
        <f t="shared" si="3"/>
        <v>Sat</v>
      </c>
      <c r="J34" t="str">
        <f t="shared" si="4"/>
        <v>day</v>
      </c>
      <c r="K34" t="str">
        <f t="shared" si="5"/>
        <v>May</v>
      </c>
      <c r="L34">
        <f t="shared" si="6"/>
        <v>2021</v>
      </c>
      <c r="M34" t="s">
        <v>176</v>
      </c>
      <c r="N34">
        <f t="shared" si="7"/>
        <v>39</v>
      </c>
      <c r="O34">
        <f t="shared" si="8"/>
        <v>29</v>
      </c>
      <c r="P34">
        <f t="shared" si="9"/>
        <v>8</v>
      </c>
      <c r="Q34">
        <v>68448</v>
      </c>
      <c r="R34">
        <v>76896</v>
      </c>
      <c r="S34" t="str">
        <f t="shared" si="10"/>
        <v>high target</v>
      </c>
      <c r="T34" t="str">
        <f t="shared" si="11"/>
        <v>high target</v>
      </c>
      <c r="U34" t="s">
        <v>37</v>
      </c>
      <c r="V34">
        <f t="shared" si="12"/>
        <v>18</v>
      </c>
      <c r="W34" t="str">
        <f t="shared" si="13"/>
        <v>GOOD COMMUNICATION</v>
      </c>
      <c r="X34" t="str">
        <f t="shared" si="14"/>
        <v>good communication</v>
      </c>
      <c r="Y34" t="str">
        <f t="shared" si="15"/>
        <v>Good Communication</v>
      </c>
      <c r="AA34" t="e">
        <f t="shared" si="16"/>
        <v>#VALUE!</v>
      </c>
      <c r="AB34" t="e">
        <f t="shared" si="17"/>
        <v>#VALUE!</v>
      </c>
    </row>
    <row r="35" spans="1:28">
      <c r="A35" t="s">
        <v>177</v>
      </c>
      <c r="B35" t="s">
        <v>178</v>
      </c>
      <c r="C35" t="s">
        <v>41</v>
      </c>
      <c r="D35" t="str">
        <f t="shared" si="0"/>
        <v>Ritika Mehta(E1034)-Finance</v>
      </c>
      <c r="E35" t="str">
        <f t="shared" si="1"/>
        <v>Finance</v>
      </c>
      <c r="F35" t="s">
        <v>65</v>
      </c>
      <c r="G35" t="s">
        <v>179</v>
      </c>
      <c r="H35" t="str">
        <f t="shared" si="2"/>
        <v>Friday</v>
      </c>
      <c r="I35" t="str">
        <f t="shared" si="3"/>
        <v>Fri</v>
      </c>
      <c r="J35" t="str">
        <f t="shared" si="4"/>
        <v>day</v>
      </c>
      <c r="K35" t="str">
        <f t="shared" si="5"/>
        <v>Dec</v>
      </c>
      <c r="L35">
        <f t="shared" si="6"/>
        <v>2022</v>
      </c>
      <c r="M35" t="s">
        <v>180</v>
      </c>
      <c r="N35">
        <f t="shared" si="7"/>
        <v>15</v>
      </c>
      <c r="O35">
        <f t="shared" si="8"/>
        <v>56</v>
      </c>
      <c r="P35">
        <f t="shared" si="9"/>
        <v>8</v>
      </c>
      <c r="Q35">
        <v>67893</v>
      </c>
      <c r="R35">
        <v>64217</v>
      </c>
      <c r="S35" t="str">
        <f t="shared" si="10"/>
        <v>high target</v>
      </c>
      <c r="T35" t="str">
        <f t="shared" si="11"/>
        <v>mid target</v>
      </c>
      <c r="U35" t="s">
        <v>112</v>
      </c>
      <c r="V35">
        <f t="shared" si="12"/>
        <v>14</v>
      </c>
      <c r="W35" t="str">
        <f t="shared" si="13"/>
        <v>QUICK RESPONSE</v>
      </c>
      <c r="X35" t="str">
        <f t="shared" si="14"/>
        <v>quick response</v>
      </c>
      <c r="Y35" t="str">
        <f t="shared" si="15"/>
        <v>Quick Response</v>
      </c>
      <c r="AA35" t="e">
        <f t="shared" si="16"/>
        <v>#VALUE!</v>
      </c>
      <c r="AB35" t="e">
        <f t="shared" si="17"/>
        <v>#VALUE!</v>
      </c>
    </row>
    <row r="36" spans="1:28">
      <c r="A36" t="s">
        <v>181</v>
      </c>
      <c r="B36" t="s">
        <v>182</v>
      </c>
      <c r="C36" t="s">
        <v>41</v>
      </c>
      <c r="D36" t="str">
        <f t="shared" si="0"/>
        <v>Deepak Goyal(E1035)-Finance</v>
      </c>
      <c r="E36" t="str">
        <f t="shared" si="1"/>
        <v>Finance</v>
      </c>
      <c r="F36" t="s">
        <v>72</v>
      </c>
      <c r="G36" t="s">
        <v>183</v>
      </c>
      <c r="H36" t="str">
        <f t="shared" si="2"/>
        <v>Sunday</v>
      </c>
      <c r="I36" t="str">
        <f t="shared" si="3"/>
        <v>Sun</v>
      </c>
      <c r="J36" t="str">
        <f t="shared" si="4"/>
        <v>day</v>
      </c>
      <c r="K36" t="str">
        <f t="shared" si="5"/>
        <v>Sep</v>
      </c>
      <c r="L36">
        <f t="shared" si="6"/>
        <v>2024</v>
      </c>
      <c r="M36" t="s">
        <v>184</v>
      </c>
      <c r="N36">
        <f t="shared" si="7"/>
        <v>59</v>
      </c>
      <c r="O36">
        <f t="shared" si="8"/>
        <v>19</v>
      </c>
      <c r="P36">
        <f t="shared" si="9"/>
        <v>10</v>
      </c>
      <c r="Q36">
        <v>75263</v>
      </c>
      <c r="R36">
        <v>83475</v>
      </c>
      <c r="S36" t="str">
        <f t="shared" si="10"/>
        <v>high target</v>
      </c>
      <c r="T36" t="str">
        <f t="shared" si="11"/>
        <v>high target</v>
      </c>
      <c r="U36" t="s">
        <v>487</v>
      </c>
      <c r="V36">
        <f t="shared" si="12"/>
        <v>13</v>
      </c>
      <c r="W36" t="str">
        <f t="shared" si="13"/>
        <v>GREAT SUPPORT</v>
      </c>
      <c r="X36" t="str">
        <f t="shared" si="14"/>
        <v>great support</v>
      </c>
      <c r="Y36" t="str">
        <f t="shared" si="15"/>
        <v>Great Support</v>
      </c>
      <c r="AA36" t="e">
        <f t="shared" si="16"/>
        <v>#VALUE!</v>
      </c>
      <c r="AB36" t="e">
        <f t="shared" si="17"/>
        <v>#VALUE!</v>
      </c>
    </row>
    <row r="37" spans="1:28">
      <c r="A37" t="s">
        <v>185</v>
      </c>
      <c r="B37" t="s">
        <v>186</v>
      </c>
      <c r="C37" t="s">
        <v>11</v>
      </c>
      <c r="D37" t="str">
        <f t="shared" si="0"/>
        <v>Arjun Shah(E1036)-Sales</v>
      </c>
      <c r="E37" t="str">
        <f t="shared" si="1"/>
        <v>Sales</v>
      </c>
      <c r="F37" t="s">
        <v>19</v>
      </c>
      <c r="G37" t="s">
        <v>187</v>
      </c>
      <c r="H37" t="str">
        <f t="shared" si="2"/>
        <v>Thursday</v>
      </c>
      <c r="I37" t="str">
        <f t="shared" si="3"/>
        <v>Thu</v>
      </c>
      <c r="J37" t="str">
        <f t="shared" si="4"/>
        <v>day</v>
      </c>
      <c r="K37" t="str">
        <f t="shared" si="5"/>
        <v>Feb</v>
      </c>
      <c r="L37">
        <f t="shared" si="6"/>
        <v>2024</v>
      </c>
      <c r="M37" t="s">
        <v>188</v>
      </c>
      <c r="N37">
        <f t="shared" si="7"/>
        <v>18</v>
      </c>
      <c r="O37">
        <f t="shared" si="8"/>
        <v>17</v>
      </c>
      <c r="P37">
        <f t="shared" si="9"/>
        <v>8</v>
      </c>
      <c r="Q37">
        <v>78441</v>
      </c>
      <c r="R37">
        <v>79638</v>
      </c>
      <c r="S37" t="str">
        <f t="shared" si="10"/>
        <v>high target</v>
      </c>
      <c r="T37" t="str">
        <f t="shared" si="11"/>
        <v>high target</v>
      </c>
      <c r="U37" t="s">
        <v>22</v>
      </c>
      <c r="V37">
        <f t="shared" si="12"/>
        <v>13</v>
      </c>
      <c r="W37" t="str">
        <f t="shared" si="13"/>
        <v>FAST DELIVERY</v>
      </c>
      <c r="X37" t="str">
        <f t="shared" si="14"/>
        <v>fast delivery</v>
      </c>
      <c r="Y37" t="str">
        <f t="shared" si="15"/>
        <v>Fast Delivery</v>
      </c>
      <c r="AA37" t="e">
        <f t="shared" si="16"/>
        <v>#VALUE!</v>
      </c>
      <c r="AB37" t="e">
        <f t="shared" si="17"/>
        <v>#VALUE!</v>
      </c>
    </row>
    <row r="38" spans="1:28">
      <c r="A38" t="s">
        <v>189</v>
      </c>
      <c r="B38" t="s">
        <v>190</v>
      </c>
      <c r="C38" t="s">
        <v>41</v>
      </c>
      <c r="D38" t="str">
        <f t="shared" si="0"/>
        <v>Rohan Mehta(E1037)-Finance</v>
      </c>
      <c r="E38" t="str">
        <f t="shared" si="1"/>
        <v>Finance</v>
      </c>
      <c r="F38" t="s">
        <v>79</v>
      </c>
      <c r="G38" t="s">
        <v>191</v>
      </c>
      <c r="H38" t="str">
        <f t="shared" si="2"/>
        <v>Monday</v>
      </c>
      <c r="I38" t="str">
        <f t="shared" si="3"/>
        <v>Mon</v>
      </c>
      <c r="J38" t="str">
        <f t="shared" si="4"/>
        <v>day</v>
      </c>
      <c r="K38" t="str">
        <f t="shared" si="5"/>
        <v>May</v>
      </c>
      <c r="L38">
        <f t="shared" si="6"/>
        <v>2022</v>
      </c>
      <c r="M38" t="s">
        <v>192</v>
      </c>
      <c r="N38">
        <f t="shared" si="7"/>
        <v>40</v>
      </c>
      <c r="O38">
        <f t="shared" si="8"/>
        <v>5</v>
      </c>
      <c r="P38">
        <f t="shared" si="9"/>
        <v>8</v>
      </c>
      <c r="Q38">
        <v>70891</v>
      </c>
      <c r="R38">
        <v>67759</v>
      </c>
      <c r="S38" t="str">
        <f t="shared" si="10"/>
        <v>high target</v>
      </c>
      <c r="T38" t="str">
        <f t="shared" si="11"/>
        <v>mid target</v>
      </c>
      <c r="U38" t="s">
        <v>159</v>
      </c>
      <c r="V38">
        <f t="shared" si="12"/>
        <v>17</v>
      </c>
      <c r="W38" t="str">
        <f t="shared" si="13"/>
        <v>EXCELLENT SERVICE</v>
      </c>
      <c r="X38" t="str">
        <f t="shared" si="14"/>
        <v>excellent service</v>
      </c>
      <c r="Y38" t="str">
        <f t="shared" si="15"/>
        <v>Excellent Service</v>
      </c>
      <c r="AA38" t="e">
        <f t="shared" si="16"/>
        <v>#VALUE!</v>
      </c>
      <c r="AB38" t="e">
        <f t="shared" si="17"/>
        <v>#VALUE!</v>
      </c>
    </row>
    <row r="39" spans="1:28">
      <c r="A39" t="s">
        <v>193</v>
      </c>
      <c r="B39" t="s">
        <v>194</v>
      </c>
      <c r="C39" t="s">
        <v>53</v>
      </c>
      <c r="D39" t="str">
        <f t="shared" si="0"/>
        <v>Amit Iyer(E1038)-HR</v>
      </c>
      <c r="E39" t="str">
        <f t="shared" si="1"/>
        <v>HR</v>
      </c>
      <c r="F39" t="s">
        <v>12</v>
      </c>
      <c r="G39" t="s">
        <v>195</v>
      </c>
      <c r="H39" t="str">
        <f t="shared" si="2"/>
        <v>Saturday</v>
      </c>
      <c r="I39" t="str">
        <f t="shared" si="3"/>
        <v>Sat</v>
      </c>
      <c r="J39" t="str">
        <f t="shared" si="4"/>
        <v>day</v>
      </c>
      <c r="K39" t="str">
        <f t="shared" si="5"/>
        <v>Nov</v>
      </c>
      <c r="L39">
        <f t="shared" si="6"/>
        <v>2021</v>
      </c>
      <c r="M39" t="s">
        <v>196</v>
      </c>
      <c r="N39">
        <f t="shared" si="7"/>
        <v>35</v>
      </c>
      <c r="O39">
        <f t="shared" si="8"/>
        <v>28</v>
      </c>
      <c r="P39">
        <f t="shared" si="9"/>
        <v>10</v>
      </c>
      <c r="Q39">
        <v>99274</v>
      </c>
      <c r="R39">
        <v>86246</v>
      </c>
      <c r="S39" t="str">
        <f t="shared" si="10"/>
        <v>high target</v>
      </c>
      <c r="T39" t="str">
        <f t="shared" si="11"/>
        <v>high target</v>
      </c>
      <c r="U39" t="s">
        <v>44</v>
      </c>
      <c r="V39">
        <f t="shared" si="12"/>
        <v>19</v>
      </c>
      <c r="W39" t="str">
        <f t="shared" si="13"/>
        <v>STRONG PRESENTATION</v>
      </c>
      <c r="X39" t="str">
        <f t="shared" si="14"/>
        <v>strong presentation</v>
      </c>
      <c r="Y39" t="str">
        <f t="shared" si="15"/>
        <v>Strong Presentation</v>
      </c>
      <c r="AA39" t="e">
        <f t="shared" si="16"/>
        <v>#VALUE!</v>
      </c>
      <c r="AB39" t="e">
        <f t="shared" si="17"/>
        <v>#VALUE!</v>
      </c>
    </row>
    <row r="40" spans="1:28">
      <c r="A40" t="s">
        <v>197</v>
      </c>
      <c r="B40" t="s">
        <v>198</v>
      </c>
      <c r="C40" t="s">
        <v>11</v>
      </c>
      <c r="D40" t="str">
        <f t="shared" si="0"/>
        <v>Amit Singh(E1039)-Sales</v>
      </c>
      <c r="E40" t="str">
        <f t="shared" si="1"/>
        <v>Sales</v>
      </c>
      <c r="F40" t="s">
        <v>65</v>
      </c>
      <c r="G40" t="s">
        <v>199</v>
      </c>
      <c r="H40" t="str">
        <f t="shared" si="2"/>
        <v>Tuesday</v>
      </c>
      <c r="I40" t="str">
        <f t="shared" si="3"/>
        <v>Tue</v>
      </c>
      <c r="J40" t="str">
        <f t="shared" si="4"/>
        <v>day</v>
      </c>
      <c r="K40" t="str">
        <f t="shared" si="5"/>
        <v>Jan</v>
      </c>
      <c r="L40">
        <f t="shared" si="6"/>
        <v>2024</v>
      </c>
      <c r="M40" t="s">
        <v>200</v>
      </c>
      <c r="N40">
        <f t="shared" si="7"/>
        <v>23</v>
      </c>
      <c r="O40">
        <f t="shared" si="8"/>
        <v>53</v>
      </c>
      <c r="P40">
        <f t="shared" si="9"/>
        <v>8</v>
      </c>
      <c r="Q40">
        <v>72880</v>
      </c>
      <c r="R40">
        <v>78175</v>
      </c>
      <c r="S40" t="str">
        <f t="shared" si="10"/>
        <v>high target</v>
      </c>
      <c r="T40" t="str">
        <f t="shared" si="11"/>
        <v>high target</v>
      </c>
      <c r="U40" t="s">
        <v>168</v>
      </c>
      <c r="V40">
        <f t="shared" si="12"/>
        <v>17</v>
      </c>
      <c r="W40" t="str">
        <f t="shared" si="13"/>
        <v>DETAILED ANALYSIS</v>
      </c>
      <c r="X40" t="str">
        <f t="shared" si="14"/>
        <v>detailed analysis</v>
      </c>
      <c r="Y40" t="str">
        <f t="shared" si="15"/>
        <v>Detailed Analysis</v>
      </c>
      <c r="AA40" t="e">
        <f t="shared" si="16"/>
        <v>#VALUE!</v>
      </c>
      <c r="AB40" t="e">
        <f t="shared" si="17"/>
        <v>#VALUE!</v>
      </c>
    </row>
    <row r="41" spans="1:28">
      <c r="A41" t="s">
        <v>201</v>
      </c>
      <c r="B41" t="s">
        <v>202</v>
      </c>
      <c r="C41" t="s">
        <v>41</v>
      </c>
      <c r="D41" t="str">
        <f t="shared" si="0"/>
        <v>Arjun Patel(E1040)-Finance</v>
      </c>
      <c r="E41" t="str">
        <f t="shared" si="1"/>
        <v>Finance</v>
      </c>
      <c r="F41" t="s">
        <v>34</v>
      </c>
      <c r="G41" t="s">
        <v>203</v>
      </c>
      <c r="H41" t="str">
        <f t="shared" si="2"/>
        <v>Tuesday</v>
      </c>
      <c r="I41" t="str">
        <f t="shared" si="3"/>
        <v>Tue</v>
      </c>
      <c r="J41" t="str">
        <f t="shared" si="4"/>
        <v>day</v>
      </c>
      <c r="K41" t="str">
        <f t="shared" si="5"/>
        <v>Mar</v>
      </c>
      <c r="L41">
        <f t="shared" si="6"/>
        <v>2021</v>
      </c>
      <c r="M41" t="s">
        <v>204</v>
      </c>
      <c r="N41">
        <f t="shared" si="7"/>
        <v>43</v>
      </c>
      <c r="O41">
        <f t="shared" si="8"/>
        <v>13</v>
      </c>
      <c r="P41">
        <f t="shared" si="9"/>
        <v>9</v>
      </c>
      <c r="Q41">
        <v>48089</v>
      </c>
      <c r="R41">
        <v>56353</v>
      </c>
      <c r="S41" t="str">
        <f t="shared" si="10"/>
        <v>high target</v>
      </c>
      <c r="T41" t="str">
        <f t="shared" si="11"/>
        <v>mid target</v>
      </c>
      <c r="U41" t="s">
        <v>121</v>
      </c>
      <c r="V41">
        <f t="shared" si="12"/>
        <v>14</v>
      </c>
      <c r="W41" t="str">
        <f t="shared" si="13"/>
        <v>CREATIVE IDEAS</v>
      </c>
      <c r="X41" t="str">
        <f t="shared" si="14"/>
        <v>creative ideas</v>
      </c>
      <c r="Y41" t="str">
        <f t="shared" si="15"/>
        <v>Creative Ideas</v>
      </c>
      <c r="AA41" t="e">
        <f t="shared" si="16"/>
        <v>#VALUE!</v>
      </c>
      <c r="AB41" t="e">
        <f t="shared" si="17"/>
        <v>#VALUE!</v>
      </c>
    </row>
    <row r="42" spans="1:28">
      <c r="A42" t="s">
        <v>205</v>
      </c>
      <c r="B42" t="s">
        <v>206</v>
      </c>
      <c r="C42" t="s">
        <v>26</v>
      </c>
      <c r="D42" t="str">
        <f t="shared" si="0"/>
        <v>Harsh Goyal(E1041)-Marketing</v>
      </c>
      <c r="E42" t="str">
        <f t="shared" si="1"/>
        <v>Marketing</v>
      </c>
      <c r="F42" t="s">
        <v>65</v>
      </c>
      <c r="G42" t="s">
        <v>207</v>
      </c>
      <c r="H42" t="str">
        <f t="shared" si="2"/>
        <v>Saturday</v>
      </c>
      <c r="I42" t="str">
        <f t="shared" si="3"/>
        <v>Sat</v>
      </c>
      <c r="J42" t="str">
        <f t="shared" si="4"/>
        <v>day</v>
      </c>
      <c r="K42" t="str">
        <f t="shared" si="5"/>
        <v>Apr</v>
      </c>
      <c r="L42">
        <f t="shared" si="6"/>
        <v>2022</v>
      </c>
      <c r="M42" t="s">
        <v>208</v>
      </c>
      <c r="N42">
        <f t="shared" si="7"/>
        <v>51</v>
      </c>
      <c r="O42">
        <f t="shared" si="8"/>
        <v>51</v>
      </c>
      <c r="P42">
        <f t="shared" si="9"/>
        <v>8</v>
      </c>
      <c r="Q42">
        <v>63623</v>
      </c>
      <c r="R42">
        <v>51603</v>
      </c>
      <c r="S42" t="str">
        <f t="shared" si="10"/>
        <v>high target</v>
      </c>
      <c r="T42" t="str">
        <f t="shared" si="11"/>
        <v>mid target</v>
      </c>
      <c r="U42" t="s">
        <v>159</v>
      </c>
      <c r="V42">
        <f t="shared" si="12"/>
        <v>17</v>
      </c>
      <c r="W42" t="str">
        <f t="shared" si="13"/>
        <v>EXCELLENT SERVICE</v>
      </c>
      <c r="X42" t="str">
        <f t="shared" si="14"/>
        <v>excellent service</v>
      </c>
      <c r="Y42" t="str">
        <f t="shared" si="15"/>
        <v>Excellent Service</v>
      </c>
      <c r="AA42" t="e">
        <f t="shared" si="16"/>
        <v>#VALUE!</v>
      </c>
      <c r="AB42" t="e">
        <f t="shared" si="17"/>
        <v>#VALUE!</v>
      </c>
    </row>
    <row r="43" spans="1:28">
      <c r="A43" t="s">
        <v>209</v>
      </c>
      <c r="B43" t="s">
        <v>210</v>
      </c>
      <c r="C43" t="s">
        <v>26</v>
      </c>
      <c r="D43" t="str">
        <f t="shared" si="0"/>
        <v>Sneha Iyer(E1042)-Marketing</v>
      </c>
      <c r="E43" t="str">
        <f t="shared" si="1"/>
        <v>Marketing</v>
      </c>
      <c r="F43" t="s">
        <v>27</v>
      </c>
      <c r="G43" t="s">
        <v>211</v>
      </c>
      <c r="H43" t="str">
        <f t="shared" si="2"/>
        <v>Friday</v>
      </c>
      <c r="I43" t="str">
        <f t="shared" si="3"/>
        <v>Fri</v>
      </c>
      <c r="J43" t="str">
        <f t="shared" si="4"/>
        <v>day</v>
      </c>
      <c r="K43" t="str">
        <f t="shared" si="5"/>
        <v>Jul</v>
      </c>
      <c r="L43">
        <f t="shared" si="6"/>
        <v>2022</v>
      </c>
      <c r="M43" t="s">
        <v>212</v>
      </c>
      <c r="N43">
        <f t="shared" si="7"/>
        <v>44</v>
      </c>
      <c r="O43">
        <f t="shared" si="8"/>
        <v>50</v>
      </c>
      <c r="P43">
        <f t="shared" si="9"/>
        <v>8</v>
      </c>
      <c r="Q43">
        <v>57154</v>
      </c>
      <c r="R43">
        <v>47084</v>
      </c>
      <c r="S43" t="str">
        <f t="shared" si="10"/>
        <v>low target</v>
      </c>
      <c r="T43" t="str">
        <f t="shared" si="11"/>
        <v>mid target</v>
      </c>
      <c r="U43" t="s">
        <v>213</v>
      </c>
      <c r="V43">
        <f t="shared" si="12"/>
        <v>17</v>
      </c>
      <c r="W43" t="str">
        <f t="shared" si="13"/>
        <v>POSITIVE ATTITUDE</v>
      </c>
      <c r="X43" t="str">
        <f t="shared" si="14"/>
        <v>positive attitude</v>
      </c>
      <c r="Y43" t="str">
        <f t="shared" si="15"/>
        <v>Positive Attitude</v>
      </c>
      <c r="AA43" t="e">
        <f t="shared" si="16"/>
        <v>#VALUE!</v>
      </c>
      <c r="AB43" t="e">
        <f t="shared" si="17"/>
        <v>#VALUE!</v>
      </c>
    </row>
    <row r="44" spans="1:28">
      <c r="A44" t="s">
        <v>214</v>
      </c>
      <c r="B44" t="s">
        <v>215</v>
      </c>
      <c r="C44" t="s">
        <v>53</v>
      </c>
      <c r="D44" t="str">
        <f t="shared" si="0"/>
        <v>Priya Agarwal(E1043)-HR</v>
      </c>
      <c r="E44" t="str">
        <f t="shared" si="1"/>
        <v>HR</v>
      </c>
      <c r="F44" t="s">
        <v>27</v>
      </c>
      <c r="G44" t="s">
        <v>216</v>
      </c>
      <c r="H44" t="str">
        <f t="shared" si="2"/>
        <v>Tuesday</v>
      </c>
      <c r="I44" t="str">
        <f t="shared" si="3"/>
        <v>Tue</v>
      </c>
      <c r="J44" t="str">
        <f t="shared" si="4"/>
        <v>day</v>
      </c>
      <c r="K44" t="str">
        <f t="shared" si="5"/>
        <v>Aug</v>
      </c>
      <c r="L44">
        <f t="shared" si="6"/>
        <v>2023</v>
      </c>
      <c r="M44" t="s">
        <v>217</v>
      </c>
      <c r="N44">
        <f t="shared" si="7"/>
        <v>52</v>
      </c>
      <c r="O44">
        <f t="shared" si="8"/>
        <v>19</v>
      </c>
      <c r="P44">
        <f t="shared" si="9"/>
        <v>9</v>
      </c>
      <c r="Q44">
        <v>92038</v>
      </c>
      <c r="R44">
        <v>92123</v>
      </c>
      <c r="S44" t="str">
        <f t="shared" si="10"/>
        <v>high target</v>
      </c>
      <c r="T44" t="str">
        <f t="shared" si="11"/>
        <v>high target</v>
      </c>
      <c r="U44" t="s">
        <v>75</v>
      </c>
      <c r="V44">
        <f t="shared" si="12"/>
        <v>16</v>
      </c>
      <c r="W44" t="str">
        <f t="shared" si="13"/>
        <v>ACCURATE REPORTS</v>
      </c>
      <c r="X44" t="str">
        <f t="shared" si="14"/>
        <v>accurate reports</v>
      </c>
      <c r="Y44" t="str">
        <f t="shared" si="15"/>
        <v>Accurate Reports</v>
      </c>
      <c r="AA44" t="e">
        <f t="shared" si="16"/>
        <v>#VALUE!</v>
      </c>
      <c r="AB44" t="e">
        <f t="shared" si="17"/>
        <v>#VALUE!</v>
      </c>
    </row>
    <row r="45" spans="1:28">
      <c r="A45" t="s">
        <v>218</v>
      </c>
      <c r="B45" t="s">
        <v>219</v>
      </c>
      <c r="C45" t="s">
        <v>26</v>
      </c>
      <c r="D45" t="str">
        <f t="shared" si="0"/>
        <v>Amit Mehta(E1044)-Marketing</v>
      </c>
      <c r="E45" t="str">
        <f t="shared" si="1"/>
        <v>Marketing</v>
      </c>
      <c r="F45" t="s">
        <v>34</v>
      </c>
      <c r="G45" t="s">
        <v>220</v>
      </c>
      <c r="H45" t="str">
        <f t="shared" si="2"/>
        <v>Monday</v>
      </c>
      <c r="I45" t="str">
        <f t="shared" si="3"/>
        <v>Mon</v>
      </c>
      <c r="J45" t="str">
        <f t="shared" si="4"/>
        <v>day</v>
      </c>
      <c r="K45" t="str">
        <f t="shared" si="5"/>
        <v>Jul</v>
      </c>
      <c r="L45">
        <f t="shared" si="6"/>
        <v>2022</v>
      </c>
      <c r="M45" t="s">
        <v>221</v>
      </c>
      <c r="N45">
        <f t="shared" si="7"/>
        <v>17</v>
      </c>
      <c r="O45">
        <f t="shared" si="8"/>
        <v>49</v>
      </c>
      <c r="P45">
        <f t="shared" si="9"/>
        <v>8</v>
      </c>
      <c r="Q45">
        <v>81396</v>
      </c>
      <c r="R45">
        <v>63012</v>
      </c>
      <c r="S45" t="str">
        <f t="shared" si="10"/>
        <v>high target</v>
      </c>
      <c r="T45" t="str">
        <f t="shared" si="11"/>
        <v>mid target</v>
      </c>
      <c r="U45" t="s">
        <v>168</v>
      </c>
      <c r="V45">
        <f t="shared" si="12"/>
        <v>17</v>
      </c>
      <c r="W45" t="str">
        <f t="shared" si="13"/>
        <v>DETAILED ANALYSIS</v>
      </c>
      <c r="X45" t="str">
        <f t="shared" si="14"/>
        <v>detailed analysis</v>
      </c>
      <c r="Y45" t="str">
        <f t="shared" si="15"/>
        <v>Detailed Analysis</v>
      </c>
      <c r="AA45" t="e">
        <f t="shared" si="16"/>
        <v>#VALUE!</v>
      </c>
      <c r="AB45" t="e">
        <f t="shared" si="17"/>
        <v>#VALUE!</v>
      </c>
    </row>
    <row r="46" spans="1:28">
      <c r="A46" t="s">
        <v>222</v>
      </c>
      <c r="B46" t="s">
        <v>223</v>
      </c>
      <c r="C46" t="s">
        <v>41</v>
      </c>
      <c r="D46" t="str">
        <f t="shared" si="0"/>
        <v>Nidhi Goyal(E1045)-Finance</v>
      </c>
      <c r="E46" t="str">
        <f t="shared" si="1"/>
        <v>Finance</v>
      </c>
      <c r="F46" t="s">
        <v>72</v>
      </c>
      <c r="G46" t="s">
        <v>224</v>
      </c>
      <c r="H46" t="str">
        <f t="shared" si="2"/>
        <v>Wednesday</v>
      </c>
      <c r="I46" t="str">
        <f t="shared" si="3"/>
        <v>Wed</v>
      </c>
      <c r="J46" t="str">
        <f t="shared" si="4"/>
        <v>day</v>
      </c>
      <c r="K46" t="str">
        <f t="shared" si="5"/>
        <v>Aug</v>
      </c>
      <c r="L46">
        <f t="shared" si="6"/>
        <v>2021</v>
      </c>
      <c r="M46" t="s">
        <v>225</v>
      </c>
      <c r="N46">
        <f t="shared" si="7"/>
        <v>37</v>
      </c>
      <c r="O46">
        <f t="shared" si="8"/>
        <v>11</v>
      </c>
      <c r="P46">
        <f t="shared" si="9"/>
        <v>9</v>
      </c>
      <c r="Q46">
        <v>44904</v>
      </c>
      <c r="R46">
        <v>57397</v>
      </c>
      <c r="S46" t="str">
        <f t="shared" si="10"/>
        <v>high target</v>
      </c>
      <c r="T46" t="str">
        <f t="shared" si="11"/>
        <v>mid target</v>
      </c>
      <c r="U46" t="s">
        <v>37</v>
      </c>
      <c r="V46">
        <f t="shared" si="12"/>
        <v>18</v>
      </c>
      <c r="W46" t="str">
        <f t="shared" si="13"/>
        <v>GOOD COMMUNICATION</v>
      </c>
      <c r="X46" t="str">
        <f t="shared" si="14"/>
        <v>good communication</v>
      </c>
      <c r="Y46" t="str">
        <f t="shared" si="15"/>
        <v>Good Communication</v>
      </c>
      <c r="AA46" t="e">
        <f t="shared" si="16"/>
        <v>#VALUE!</v>
      </c>
      <c r="AB46" t="e">
        <f t="shared" si="17"/>
        <v>#VALUE!</v>
      </c>
    </row>
    <row r="47" spans="1:28">
      <c r="A47" t="s">
        <v>226</v>
      </c>
      <c r="B47" t="s">
        <v>227</v>
      </c>
      <c r="C47" t="s">
        <v>41</v>
      </c>
      <c r="D47" t="str">
        <f t="shared" si="0"/>
        <v>Shreya Chopra(E1046)-Finance</v>
      </c>
      <c r="E47" t="str">
        <f t="shared" si="1"/>
        <v>Finance</v>
      </c>
      <c r="F47" t="s">
        <v>34</v>
      </c>
      <c r="G47" t="s">
        <v>228</v>
      </c>
      <c r="H47" t="str">
        <f t="shared" si="2"/>
        <v>Tuesday</v>
      </c>
      <c r="I47" t="str">
        <f t="shared" si="3"/>
        <v>Tue</v>
      </c>
      <c r="J47" t="str">
        <f t="shared" si="4"/>
        <v>day</v>
      </c>
      <c r="K47" t="str">
        <f t="shared" si="5"/>
        <v>Jun</v>
      </c>
      <c r="L47">
        <f t="shared" si="6"/>
        <v>2023</v>
      </c>
      <c r="M47" t="s">
        <v>229</v>
      </c>
      <c r="N47">
        <f t="shared" si="7"/>
        <v>7</v>
      </c>
      <c r="O47">
        <f t="shared" si="8"/>
        <v>32</v>
      </c>
      <c r="P47">
        <f t="shared" si="9"/>
        <v>10</v>
      </c>
      <c r="Q47">
        <v>62701</v>
      </c>
      <c r="R47">
        <v>65244</v>
      </c>
      <c r="S47" t="str">
        <f t="shared" si="10"/>
        <v>high target</v>
      </c>
      <c r="T47" t="str">
        <f t="shared" si="11"/>
        <v>mid target</v>
      </c>
      <c r="U47" t="s">
        <v>142</v>
      </c>
      <c r="V47">
        <f t="shared" si="12"/>
        <v>17</v>
      </c>
      <c r="W47" t="str">
        <f t="shared" si="13"/>
        <v>NEEDS IMPROVEMENT</v>
      </c>
      <c r="X47" t="str">
        <f t="shared" si="14"/>
        <v>needs improvement</v>
      </c>
      <c r="Y47" t="str">
        <f t="shared" si="15"/>
        <v>Needs Improvement</v>
      </c>
      <c r="AA47" t="e">
        <f t="shared" si="16"/>
        <v>#VALUE!</v>
      </c>
      <c r="AB47" t="e">
        <f t="shared" si="17"/>
        <v>#VALUE!</v>
      </c>
    </row>
    <row r="48" spans="1:28">
      <c r="A48" t="s">
        <v>230</v>
      </c>
      <c r="B48" t="s">
        <v>231</v>
      </c>
      <c r="C48" t="s">
        <v>11</v>
      </c>
      <c r="D48" t="str">
        <f t="shared" si="0"/>
        <v>Priya Chopra(E1047)-Sales</v>
      </c>
      <c r="E48" t="str">
        <f t="shared" si="1"/>
        <v>Sales</v>
      </c>
      <c r="F48" t="s">
        <v>27</v>
      </c>
      <c r="G48" t="s">
        <v>232</v>
      </c>
      <c r="H48" t="str">
        <f t="shared" si="2"/>
        <v>Monday</v>
      </c>
      <c r="I48" t="str">
        <f t="shared" si="3"/>
        <v>Mon</v>
      </c>
      <c r="J48" t="str">
        <f t="shared" si="4"/>
        <v>day</v>
      </c>
      <c r="K48" t="str">
        <f t="shared" si="5"/>
        <v>Jan</v>
      </c>
      <c r="L48">
        <f t="shared" si="6"/>
        <v>2023</v>
      </c>
      <c r="M48" t="s">
        <v>233</v>
      </c>
      <c r="N48">
        <f t="shared" si="7"/>
        <v>42</v>
      </c>
      <c r="O48">
        <f t="shared" si="8"/>
        <v>4</v>
      </c>
      <c r="P48">
        <f t="shared" si="9"/>
        <v>9</v>
      </c>
      <c r="Q48">
        <v>67211</v>
      </c>
      <c r="R48">
        <v>61639</v>
      </c>
      <c r="S48" t="str">
        <f t="shared" si="10"/>
        <v>high target</v>
      </c>
      <c r="T48" t="str">
        <f t="shared" si="11"/>
        <v>mid target</v>
      </c>
      <c r="U48" t="s">
        <v>68</v>
      </c>
      <c r="V48">
        <f t="shared" si="12"/>
        <v>13</v>
      </c>
      <c r="W48" t="str">
        <f t="shared" si="13"/>
        <v>GOOD TEAMWORK</v>
      </c>
      <c r="X48" t="str">
        <f t="shared" si="14"/>
        <v>good teamwork</v>
      </c>
      <c r="Y48" t="str">
        <f t="shared" si="15"/>
        <v>Good Teamwork</v>
      </c>
      <c r="AA48" t="e">
        <f t="shared" si="16"/>
        <v>#VALUE!</v>
      </c>
      <c r="AB48" t="e">
        <f t="shared" si="17"/>
        <v>#VALUE!</v>
      </c>
    </row>
    <row r="49" spans="1:28">
      <c r="A49" t="s">
        <v>234</v>
      </c>
      <c r="B49" t="s">
        <v>235</v>
      </c>
      <c r="C49" t="s">
        <v>41</v>
      </c>
      <c r="D49" t="str">
        <f t="shared" si="0"/>
        <v>Isha Singh(E1048)-Finance</v>
      </c>
      <c r="E49" t="str">
        <f t="shared" si="1"/>
        <v>Finance</v>
      </c>
      <c r="F49" t="s">
        <v>12</v>
      </c>
      <c r="G49" t="s">
        <v>236</v>
      </c>
      <c r="H49" t="str">
        <f t="shared" si="2"/>
        <v>Friday</v>
      </c>
      <c r="I49" t="str">
        <f t="shared" si="3"/>
        <v>Fri</v>
      </c>
      <c r="J49" t="str">
        <f t="shared" si="4"/>
        <v>day</v>
      </c>
      <c r="K49" t="str">
        <f t="shared" si="5"/>
        <v>Sep</v>
      </c>
      <c r="L49">
        <f t="shared" si="6"/>
        <v>2024</v>
      </c>
      <c r="M49" t="s">
        <v>237</v>
      </c>
      <c r="N49">
        <f t="shared" si="7"/>
        <v>25</v>
      </c>
      <c r="O49">
        <f t="shared" si="8"/>
        <v>20</v>
      </c>
      <c r="P49">
        <f t="shared" si="9"/>
        <v>9</v>
      </c>
      <c r="Q49">
        <v>90068</v>
      </c>
      <c r="R49">
        <v>85692</v>
      </c>
      <c r="S49" t="str">
        <f t="shared" si="10"/>
        <v>high target</v>
      </c>
      <c r="T49" t="str">
        <f t="shared" si="11"/>
        <v>high target</v>
      </c>
      <c r="U49" t="s">
        <v>44</v>
      </c>
      <c r="V49">
        <f t="shared" si="12"/>
        <v>19</v>
      </c>
      <c r="W49" t="str">
        <f t="shared" si="13"/>
        <v>STRONG PRESENTATION</v>
      </c>
      <c r="X49" t="str">
        <f t="shared" si="14"/>
        <v>strong presentation</v>
      </c>
      <c r="Y49" t="str">
        <f t="shared" si="15"/>
        <v>Strong Presentation</v>
      </c>
      <c r="AA49" t="e">
        <f t="shared" si="16"/>
        <v>#VALUE!</v>
      </c>
      <c r="AB49" t="e">
        <f t="shared" si="17"/>
        <v>#VALUE!</v>
      </c>
    </row>
    <row r="50" spans="1:28">
      <c r="A50" t="s">
        <v>238</v>
      </c>
      <c r="B50" t="s">
        <v>239</v>
      </c>
      <c r="C50" t="s">
        <v>26</v>
      </c>
      <c r="D50" t="str">
        <f t="shared" si="0"/>
        <v>Arjun Mehta(E1049)-Marketing</v>
      </c>
      <c r="E50" t="str">
        <f t="shared" si="1"/>
        <v>Marketing</v>
      </c>
      <c r="F50" t="s">
        <v>89</v>
      </c>
      <c r="G50" t="s">
        <v>240</v>
      </c>
      <c r="H50" t="str">
        <f t="shared" si="2"/>
        <v>Saturday</v>
      </c>
      <c r="I50" t="str">
        <f t="shared" si="3"/>
        <v>Sat</v>
      </c>
      <c r="J50" t="str">
        <f t="shared" si="4"/>
        <v>day</v>
      </c>
      <c r="K50" t="str">
        <f t="shared" si="5"/>
        <v>Oct</v>
      </c>
      <c r="L50">
        <f t="shared" si="6"/>
        <v>2024</v>
      </c>
      <c r="M50" t="s">
        <v>241</v>
      </c>
      <c r="N50">
        <f t="shared" si="7"/>
        <v>11</v>
      </c>
      <c r="O50">
        <f t="shared" si="8"/>
        <v>57</v>
      </c>
      <c r="P50">
        <f t="shared" si="9"/>
        <v>10</v>
      </c>
      <c r="Q50">
        <v>85061</v>
      </c>
      <c r="R50">
        <v>80338</v>
      </c>
      <c r="S50" t="str">
        <f t="shared" si="10"/>
        <v>high target</v>
      </c>
      <c r="T50" t="str">
        <f t="shared" si="11"/>
        <v>high target</v>
      </c>
      <c r="U50" t="s">
        <v>168</v>
      </c>
      <c r="V50">
        <f t="shared" si="12"/>
        <v>17</v>
      </c>
      <c r="W50" t="str">
        <f t="shared" si="13"/>
        <v>DETAILED ANALYSIS</v>
      </c>
      <c r="X50" t="str">
        <f t="shared" si="14"/>
        <v>detailed analysis</v>
      </c>
      <c r="Y50" t="str">
        <f t="shared" si="15"/>
        <v>Detailed Analysis</v>
      </c>
      <c r="AA50" t="e">
        <f t="shared" si="16"/>
        <v>#VALUE!</v>
      </c>
      <c r="AB50" t="e">
        <f t="shared" si="17"/>
        <v>#VALUE!</v>
      </c>
    </row>
    <row r="51" spans="1:28">
      <c r="A51" t="s">
        <v>242</v>
      </c>
      <c r="B51" t="s">
        <v>243</v>
      </c>
      <c r="C51" t="s">
        <v>41</v>
      </c>
      <c r="D51" t="str">
        <f t="shared" si="0"/>
        <v>Ritika Sharma(E1050)-Finance</v>
      </c>
      <c r="E51" t="str">
        <f t="shared" si="1"/>
        <v>Finance</v>
      </c>
      <c r="F51" t="s">
        <v>12</v>
      </c>
      <c r="G51" t="s">
        <v>244</v>
      </c>
      <c r="H51" t="str">
        <f t="shared" si="2"/>
        <v>Monday</v>
      </c>
      <c r="I51" t="str">
        <f t="shared" si="3"/>
        <v>Mon</v>
      </c>
      <c r="J51" t="str">
        <f t="shared" si="4"/>
        <v>day</v>
      </c>
      <c r="K51" t="str">
        <f t="shared" si="5"/>
        <v>Mar</v>
      </c>
      <c r="L51">
        <f t="shared" si="6"/>
        <v>2022</v>
      </c>
      <c r="M51" t="s">
        <v>245</v>
      </c>
      <c r="N51">
        <f t="shared" si="7"/>
        <v>37</v>
      </c>
      <c r="O51">
        <f t="shared" si="8"/>
        <v>50</v>
      </c>
      <c r="P51">
        <f t="shared" si="9"/>
        <v>9</v>
      </c>
      <c r="Q51">
        <v>85876</v>
      </c>
      <c r="R51">
        <v>79758</v>
      </c>
      <c r="S51" t="str">
        <f t="shared" si="10"/>
        <v>high target</v>
      </c>
      <c r="T51" t="str">
        <f t="shared" si="11"/>
        <v>high target</v>
      </c>
      <c r="U51" t="s">
        <v>56</v>
      </c>
      <c r="V51">
        <f t="shared" si="12"/>
        <v>16</v>
      </c>
      <c r="W51" t="str">
        <f t="shared" si="13"/>
        <v>HELPFUL ATTITUDE</v>
      </c>
      <c r="X51" t="str">
        <f t="shared" si="14"/>
        <v>helpful attitude</v>
      </c>
      <c r="Y51" t="str">
        <f t="shared" si="15"/>
        <v>Helpful Attitude</v>
      </c>
      <c r="AA51" t="e">
        <f t="shared" si="16"/>
        <v>#VALUE!</v>
      </c>
      <c r="AB51" t="e">
        <f t="shared" si="17"/>
        <v>#VALUE!</v>
      </c>
    </row>
    <row r="52" spans="1:28">
      <c r="A52" t="s">
        <v>246</v>
      </c>
      <c r="B52" t="s">
        <v>247</v>
      </c>
      <c r="C52" t="s">
        <v>53</v>
      </c>
      <c r="D52" t="str">
        <f t="shared" si="0"/>
        <v>Deepak Malhotra(E1051)-HR</v>
      </c>
      <c r="E52" t="str">
        <f t="shared" si="1"/>
        <v>HR</v>
      </c>
      <c r="F52" t="s">
        <v>79</v>
      </c>
      <c r="G52" t="s">
        <v>248</v>
      </c>
      <c r="H52" t="str">
        <f t="shared" si="2"/>
        <v>Tuesday</v>
      </c>
      <c r="I52" t="str">
        <f t="shared" si="3"/>
        <v>Tue</v>
      </c>
      <c r="J52" t="str">
        <f t="shared" si="4"/>
        <v>day</v>
      </c>
      <c r="K52" t="str">
        <f t="shared" si="5"/>
        <v>Dec</v>
      </c>
      <c r="L52">
        <f t="shared" si="6"/>
        <v>2021</v>
      </c>
      <c r="M52" t="s">
        <v>249</v>
      </c>
      <c r="N52">
        <f t="shared" si="7"/>
        <v>18</v>
      </c>
      <c r="O52">
        <f t="shared" si="8"/>
        <v>5</v>
      </c>
      <c r="P52">
        <f t="shared" si="9"/>
        <v>10</v>
      </c>
      <c r="Q52">
        <v>80746</v>
      </c>
      <c r="R52">
        <v>73780</v>
      </c>
      <c r="S52" t="str">
        <f t="shared" si="10"/>
        <v>high target</v>
      </c>
      <c r="T52" t="str">
        <f t="shared" si="11"/>
        <v>high target</v>
      </c>
      <c r="U52" t="s">
        <v>37</v>
      </c>
      <c r="V52">
        <f t="shared" si="12"/>
        <v>18</v>
      </c>
      <c r="W52" t="str">
        <f t="shared" si="13"/>
        <v>GOOD COMMUNICATION</v>
      </c>
      <c r="X52" t="str">
        <f t="shared" si="14"/>
        <v>good communication</v>
      </c>
      <c r="Y52" t="str">
        <f t="shared" si="15"/>
        <v>Good Communication</v>
      </c>
      <c r="AA52" t="e">
        <f t="shared" si="16"/>
        <v>#VALUE!</v>
      </c>
      <c r="AB52" t="e">
        <f t="shared" si="17"/>
        <v>#VALUE!</v>
      </c>
    </row>
    <row r="53" spans="1:28">
      <c r="A53" t="s">
        <v>250</v>
      </c>
      <c r="B53" t="s">
        <v>251</v>
      </c>
      <c r="C53" t="s">
        <v>41</v>
      </c>
      <c r="D53" t="str">
        <f t="shared" si="0"/>
        <v>Varun Nair(E1052)-Finance</v>
      </c>
      <c r="E53" t="str">
        <f t="shared" si="1"/>
        <v>Finance</v>
      </c>
      <c r="F53" t="s">
        <v>27</v>
      </c>
      <c r="G53" t="s">
        <v>252</v>
      </c>
      <c r="H53" t="str">
        <f t="shared" si="2"/>
        <v>Saturday</v>
      </c>
      <c r="I53" t="str">
        <f t="shared" si="3"/>
        <v>Sat</v>
      </c>
      <c r="J53" t="str">
        <f t="shared" si="4"/>
        <v>day</v>
      </c>
      <c r="K53" t="str">
        <f t="shared" si="5"/>
        <v>Feb</v>
      </c>
      <c r="L53">
        <f t="shared" si="6"/>
        <v>2022</v>
      </c>
      <c r="M53" t="s">
        <v>253</v>
      </c>
      <c r="N53">
        <f t="shared" si="7"/>
        <v>2</v>
      </c>
      <c r="O53">
        <f t="shared" si="8"/>
        <v>1</v>
      </c>
      <c r="P53">
        <f t="shared" si="9"/>
        <v>8</v>
      </c>
      <c r="Q53">
        <v>72184</v>
      </c>
      <c r="R53">
        <v>56046</v>
      </c>
      <c r="S53" t="str">
        <f t="shared" si="10"/>
        <v>high target</v>
      </c>
      <c r="T53" t="str">
        <f t="shared" si="11"/>
        <v>mid target</v>
      </c>
      <c r="U53" t="s">
        <v>15</v>
      </c>
      <c r="V53">
        <f t="shared" si="12"/>
        <v>20</v>
      </c>
      <c r="W53" t="str">
        <f t="shared" si="13"/>
        <v>EXCELLENT LEADERSHIP</v>
      </c>
      <c r="X53" t="str">
        <f t="shared" si="14"/>
        <v>excellent leadership</v>
      </c>
      <c r="Y53" t="str">
        <f t="shared" si="15"/>
        <v>Excellent Leadership</v>
      </c>
      <c r="AA53" t="e">
        <f t="shared" si="16"/>
        <v>#VALUE!</v>
      </c>
      <c r="AB53" t="e">
        <f t="shared" si="17"/>
        <v>#VALUE!</v>
      </c>
    </row>
    <row r="54" spans="1:28">
      <c r="A54" t="s">
        <v>254</v>
      </c>
      <c r="B54" t="s">
        <v>255</v>
      </c>
      <c r="C54" t="s">
        <v>26</v>
      </c>
      <c r="D54" t="str">
        <f t="shared" si="0"/>
        <v>Isha Verma(E1053)-Marketing</v>
      </c>
      <c r="E54" t="str">
        <f t="shared" si="1"/>
        <v>Marketing</v>
      </c>
      <c r="F54" t="s">
        <v>89</v>
      </c>
      <c r="G54" t="s">
        <v>256</v>
      </c>
      <c r="H54" t="str">
        <f t="shared" si="2"/>
        <v>Saturday</v>
      </c>
      <c r="I54" t="str">
        <f t="shared" si="3"/>
        <v>Sat</v>
      </c>
      <c r="J54" t="str">
        <f t="shared" si="4"/>
        <v>day</v>
      </c>
      <c r="K54" t="str">
        <f t="shared" si="5"/>
        <v>Jul</v>
      </c>
      <c r="L54">
        <f t="shared" si="6"/>
        <v>2024</v>
      </c>
      <c r="M54" t="s">
        <v>257</v>
      </c>
      <c r="N54">
        <f t="shared" si="7"/>
        <v>45</v>
      </c>
      <c r="O54">
        <f t="shared" si="8"/>
        <v>12</v>
      </c>
      <c r="P54">
        <f t="shared" si="9"/>
        <v>10</v>
      </c>
      <c r="Q54">
        <v>95800</v>
      </c>
      <c r="R54">
        <v>85636</v>
      </c>
      <c r="S54" t="str">
        <f t="shared" si="10"/>
        <v>high target</v>
      </c>
      <c r="T54" t="str">
        <f t="shared" si="11"/>
        <v>high target</v>
      </c>
      <c r="U54" t="s">
        <v>56</v>
      </c>
      <c r="V54">
        <f t="shared" si="12"/>
        <v>16</v>
      </c>
      <c r="W54" t="str">
        <f t="shared" si="13"/>
        <v>HELPFUL ATTITUDE</v>
      </c>
      <c r="X54" t="str">
        <f t="shared" si="14"/>
        <v>helpful attitude</v>
      </c>
      <c r="Y54" t="str">
        <f t="shared" si="15"/>
        <v>Helpful Attitude</v>
      </c>
      <c r="AA54" t="e">
        <f t="shared" si="16"/>
        <v>#VALUE!</v>
      </c>
      <c r="AB54" t="e">
        <f t="shared" si="17"/>
        <v>#VALUE!</v>
      </c>
    </row>
    <row r="55" spans="1:28">
      <c r="A55" t="s">
        <v>258</v>
      </c>
      <c r="B55" t="s">
        <v>259</v>
      </c>
      <c r="C55" t="s">
        <v>53</v>
      </c>
      <c r="D55" t="str">
        <f t="shared" si="0"/>
        <v>Suresh Nair(E1054)-HR</v>
      </c>
      <c r="E55" t="str">
        <f t="shared" si="1"/>
        <v>HR</v>
      </c>
      <c r="F55" t="s">
        <v>72</v>
      </c>
      <c r="G55" t="s">
        <v>260</v>
      </c>
      <c r="H55" t="str">
        <f t="shared" si="2"/>
        <v>Saturday</v>
      </c>
      <c r="I55" t="str">
        <f t="shared" si="3"/>
        <v>Sat</v>
      </c>
      <c r="J55" t="str">
        <f t="shared" si="4"/>
        <v>day</v>
      </c>
      <c r="K55" t="str">
        <f t="shared" si="5"/>
        <v>Aug</v>
      </c>
      <c r="L55">
        <f t="shared" si="6"/>
        <v>2021</v>
      </c>
      <c r="M55" t="s">
        <v>261</v>
      </c>
      <c r="N55">
        <f t="shared" si="7"/>
        <v>11</v>
      </c>
      <c r="O55">
        <f t="shared" si="8"/>
        <v>14</v>
      </c>
      <c r="P55">
        <f t="shared" si="9"/>
        <v>9</v>
      </c>
      <c r="Q55">
        <v>111642</v>
      </c>
      <c r="R55">
        <v>92698</v>
      </c>
      <c r="S55" t="str">
        <f t="shared" si="10"/>
        <v>high target</v>
      </c>
      <c r="T55" t="str">
        <f t="shared" si="11"/>
        <v>high target</v>
      </c>
      <c r="U55" t="s">
        <v>56</v>
      </c>
      <c r="V55">
        <f t="shared" si="12"/>
        <v>16</v>
      </c>
      <c r="W55" t="str">
        <f t="shared" si="13"/>
        <v>HELPFUL ATTITUDE</v>
      </c>
      <c r="X55" t="str">
        <f t="shared" si="14"/>
        <v>helpful attitude</v>
      </c>
      <c r="Y55" t="str">
        <f t="shared" si="15"/>
        <v>Helpful Attitude</v>
      </c>
      <c r="AA55" t="e">
        <f t="shared" si="16"/>
        <v>#VALUE!</v>
      </c>
      <c r="AB55" t="e">
        <f t="shared" si="17"/>
        <v>#VALUE!</v>
      </c>
    </row>
    <row r="56" spans="1:28">
      <c r="A56" t="s">
        <v>262</v>
      </c>
      <c r="B56" t="s">
        <v>263</v>
      </c>
      <c r="C56" t="s">
        <v>53</v>
      </c>
      <c r="D56" t="str">
        <f t="shared" si="0"/>
        <v>Priya Goyal(E1055)-HR</v>
      </c>
      <c r="E56" t="str">
        <f t="shared" si="1"/>
        <v>HR</v>
      </c>
      <c r="F56" t="s">
        <v>19</v>
      </c>
      <c r="G56" t="s">
        <v>264</v>
      </c>
      <c r="H56" t="str">
        <f t="shared" si="2"/>
        <v>Monday</v>
      </c>
      <c r="I56" t="str">
        <f t="shared" si="3"/>
        <v>Mon</v>
      </c>
      <c r="J56" t="str">
        <f t="shared" si="4"/>
        <v>day</v>
      </c>
      <c r="K56" t="str">
        <f t="shared" si="5"/>
        <v>Jul</v>
      </c>
      <c r="L56">
        <f t="shared" si="6"/>
        <v>2023</v>
      </c>
      <c r="M56" t="s">
        <v>265</v>
      </c>
      <c r="N56">
        <f t="shared" si="7"/>
        <v>29</v>
      </c>
      <c r="O56">
        <f t="shared" si="8"/>
        <v>51</v>
      </c>
      <c r="P56">
        <f t="shared" si="9"/>
        <v>8</v>
      </c>
      <c r="Q56">
        <v>103558</v>
      </c>
      <c r="R56">
        <v>83750</v>
      </c>
      <c r="S56" t="str">
        <f t="shared" si="10"/>
        <v>high target</v>
      </c>
      <c r="T56" t="str">
        <f t="shared" si="11"/>
        <v>high target</v>
      </c>
      <c r="U56" t="s">
        <v>44</v>
      </c>
      <c r="V56">
        <f t="shared" si="12"/>
        <v>19</v>
      </c>
      <c r="W56" t="str">
        <f t="shared" si="13"/>
        <v>STRONG PRESENTATION</v>
      </c>
      <c r="X56" t="str">
        <f t="shared" si="14"/>
        <v>strong presentation</v>
      </c>
      <c r="Y56" t="str">
        <f t="shared" si="15"/>
        <v>Strong Presentation</v>
      </c>
      <c r="AA56" t="e">
        <f t="shared" si="16"/>
        <v>#VALUE!</v>
      </c>
      <c r="AB56" t="e">
        <f t="shared" si="17"/>
        <v>#VALUE!</v>
      </c>
    </row>
    <row r="57" spans="1:28">
      <c r="A57" t="s">
        <v>266</v>
      </c>
      <c r="B57" t="s">
        <v>267</v>
      </c>
      <c r="C57" t="s">
        <v>26</v>
      </c>
      <c r="D57" t="str">
        <f t="shared" si="0"/>
        <v>Shreya Iyer(E1056)-Marketing</v>
      </c>
      <c r="E57" t="str">
        <f t="shared" si="1"/>
        <v>Marketing</v>
      </c>
      <c r="F57" t="s">
        <v>89</v>
      </c>
      <c r="G57" t="s">
        <v>268</v>
      </c>
      <c r="H57" t="str">
        <f t="shared" si="2"/>
        <v>Sunday</v>
      </c>
      <c r="I57" t="str">
        <f t="shared" si="3"/>
        <v>Sun</v>
      </c>
      <c r="J57" t="str">
        <f t="shared" si="4"/>
        <v>day</v>
      </c>
      <c r="K57" t="str">
        <f t="shared" si="5"/>
        <v>Jan</v>
      </c>
      <c r="L57">
        <f t="shared" si="6"/>
        <v>2024</v>
      </c>
      <c r="M57" t="s">
        <v>269</v>
      </c>
      <c r="N57">
        <f t="shared" si="7"/>
        <v>10</v>
      </c>
      <c r="O57">
        <f t="shared" si="8"/>
        <v>57</v>
      </c>
      <c r="P57">
        <f t="shared" si="9"/>
        <v>9</v>
      </c>
      <c r="Q57">
        <v>104844</v>
      </c>
      <c r="R57">
        <v>88736</v>
      </c>
      <c r="S57" t="str">
        <f t="shared" si="10"/>
        <v>high target</v>
      </c>
      <c r="T57" t="str">
        <f t="shared" si="11"/>
        <v>high target</v>
      </c>
      <c r="U57" t="s">
        <v>56</v>
      </c>
      <c r="V57">
        <f t="shared" si="12"/>
        <v>16</v>
      </c>
      <c r="W57" t="str">
        <f t="shared" si="13"/>
        <v>HELPFUL ATTITUDE</v>
      </c>
      <c r="X57" t="str">
        <f t="shared" si="14"/>
        <v>helpful attitude</v>
      </c>
      <c r="Y57" t="str">
        <f t="shared" si="15"/>
        <v>Helpful Attitude</v>
      </c>
      <c r="AA57" t="e">
        <f t="shared" si="16"/>
        <v>#VALUE!</v>
      </c>
      <c r="AB57" t="e">
        <f t="shared" si="17"/>
        <v>#VALUE!</v>
      </c>
    </row>
    <row r="58" spans="1:28">
      <c r="A58" t="s">
        <v>270</v>
      </c>
      <c r="B58" t="s">
        <v>271</v>
      </c>
      <c r="C58" t="s">
        <v>41</v>
      </c>
      <c r="D58" t="str">
        <f t="shared" si="0"/>
        <v>Vikram Nair(E1057)-Finance</v>
      </c>
      <c r="E58" t="str">
        <f t="shared" si="1"/>
        <v>Finance</v>
      </c>
      <c r="F58" t="s">
        <v>79</v>
      </c>
      <c r="G58" t="s">
        <v>272</v>
      </c>
      <c r="H58" t="str">
        <f t="shared" si="2"/>
        <v>Sunday</v>
      </c>
      <c r="I58" t="str">
        <f t="shared" si="3"/>
        <v>Sun</v>
      </c>
      <c r="J58" t="str">
        <f t="shared" si="4"/>
        <v>day</v>
      </c>
      <c r="K58" t="str">
        <f t="shared" si="5"/>
        <v>Jul</v>
      </c>
      <c r="L58">
        <f t="shared" si="6"/>
        <v>2024</v>
      </c>
      <c r="M58" t="s">
        <v>273</v>
      </c>
      <c r="N58">
        <f t="shared" si="7"/>
        <v>28</v>
      </c>
      <c r="O58">
        <f t="shared" si="8"/>
        <v>17</v>
      </c>
      <c r="P58">
        <f t="shared" si="9"/>
        <v>8</v>
      </c>
      <c r="Q58">
        <v>48802</v>
      </c>
      <c r="R58">
        <v>45077</v>
      </c>
      <c r="S58" t="str">
        <f t="shared" si="10"/>
        <v>low target</v>
      </c>
      <c r="T58" t="str">
        <f t="shared" si="11"/>
        <v>mid target</v>
      </c>
      <c r="U58" t="s">
        <v>75</v>
      </c>
      <c r="V58">
        <f t="shared" si="12"/>
        <v>16</v>
      </c>
      <c r="W58" t="str">
        <f t="shared" si="13"/>
        <v>ACCURATE REPORTS</v>
      </c>
      <c r="X58" t="str">
        <f t="shared" si="14"/>
        <v>accurate reports</v>
      </c>
      <c r="Y58" t="str">
        <f t="shared" si="15"/>
        <v>Accurate Reports</v>
      </c>
      <c r="AA58" t="e">
        <f t="shared" si="16"/>
        <v>#VALUE!</v>
      </c>
      <c r="AB58" t="e">
        <f t="shared" si="17"/>
        <v>#VALUE!</v>
      </c>
    </row>
    <row r="59" spans="1:28">
      <c r="A59" t="s">
        <v>274</v>
      </c>
      <c r="B59" t="s">
        <v>275</v>
      </c>
      <c r="C59" t="s">
        <v>41</v>
      </c>
      <c r="D59" t="str">
        <f t="shared" si="0"/>
        <v>Vikram Iyer(E1058)-Finance</v>
      </c>
      <c r="E59" t="str">
        <f t="shared" si="1"/>
        <v>Finance</v>
      </c>
      <c r="F59" t="s">
        <v>19</v>
      </c>
      <c r="G59" t="s">
        <v>276</v>
      </c>
      <c r="H59" t="str">
        <f t="shared" si="2"/>
        <v>Monday</v>
      </c>
      <c r="I59" t="str">
        <f t="shared" si="3"/>
        <v>Mon</v>
      </c>
      <c r="J59" t="str">
        <f t="shared" si="4"/>
        <v>day</v>
      </c>
      <c r="K59" t="str">
        <f t="shared" si="5"/>
        <v>Oct</v>
      </c>
      <c r="L59">
        <f t="shared" si="6"/>
        <v>2021</v>
      </c>
      <c r="M59" t="s">
        <v>277</v>
      </c>
      <c r="N59">
        <f t="shared" si="7"/>
        <v>24</v>
      </c>
      <c r="O59">
        <f t="shared" si="8"/>
        <v>14</v>
      </c>
      <c r="P59">
        <f t="shared" si="9"/>
        <v>8</v>
      </c>
      <c r="Q59">
        <v>80492</v>
      </c>
      <c r="R59">
        <v>85478</v>
      </c>
      <c r="S59" t="str">
        <f t="shared" si="10"/>
        <v>high target</v>
      </c>
      <c r="T59" t="str">
        <f t="shared" si="11"/>
        <v>high target</v>
      </c>
      <c r="U59" t="s">
        <v>22</v>
      </c>
      <c r="V59">
        <f t="shared" si="12"/>
        <v>13</v>
      </c>
      <c r="W59" t="str">
        <f t="shared" si="13"/>
        <v>FAST DELIVERY</v>
      </c>
      <c r="X59" t="str">
        <f t="shared" si="14"/>
        <v>fast delivery</v>
      </c>
      <c r="Y59" t="str">
        <f t="shared" si="15"/>
        <v>Fast Delivery</v>
      </c>
      <c r="AA59" t="e">
        <f t="shared" si="16"/>
        <v>#VALUE!</v>
      </c>
      <c r="AB59" t="e">
        <f t="shared" si="17"/>
        <v>#VALUE!</v>
      </c>
    </row>
    <row r="60" spans="1:28">
      <c r="A60" t="s">
        <v>278</v>
      </c>
      <c r="B60" t="s">
        <v>279</v>
      </c>
      <c r="C60" t="s">
        <v>26</v>
      </c>
      <c r="D60" t="str">
        <f t="shared" si="0"/>
        <v>Karan Verma(E1059)-Marketing</v>
      </c>
      <c r="E60" t="str">
        <f t="shared" si="1"/>
        <v>Marketing</v>
      </c>
      <c r="F60" t="s">
        <v>89</v>
      </c>
      <c r="G60" t="s">
        <v>280</v>
      </c>
      <c r="H60" t="str">
        <f t="shared" si="2"/>
        <v>Wednesday</v>
      </c>
      <c r="I60" t="str">
        <f t="shared" si="3"/>
        <v>Wed</v>
      </c>
      <c r="J60" t="str">
        <f t="shared" si="4"/>
        <v>day</v>
      </c>
      <c r="K60" t="str">
        <f t="shared" si="5"/>
        <v>Nov</v>
      </c>
      <c r="L60">
        <f t="shared" si="6"/>
        <v>2022</v>
      </c>
      <c r="M60" t="s">
        <v>281</v>
      </c>
      <c r="N60">
        <f t="shared" si="7"/>
        <v>26</v>
      </c>
      <c r="O60">
        <f t="shared" si="8"/>
        <v>29</v>
      </c>
      <c r="P60">
        <f t="shared" si="9"/>
        <v>10</v>
      </c>
      <c r="Q60">
        <v>42635</v>
      </c>
      <c r="R60">
        <v>44080</v>
      </c>
      <c r="S60" t="str">
        <f t="shared" si="10"/>
        <v>low target</v>
      </c>
      <c r="T60" t="str">
        <f t="shared" si="11"/>
        <v>mid target</v>
      </c>
      <c r="U60" t="s">
        <v>213</v>
      </c>
      <c r="V60">
        <f t="shared" si="12"/>
        <v>17</v>
      </c>
      <c r="W60" t="str">
        <f t="shared" si="13"/>
        <v>POSITIVE ATTITUDE</v>
      </c>
      <c r="X60" t="str">
        <f t="shared" si="14"/>
        <v>positive attitude</v>
      </c>
      <c r="Y60" t="str">
        <f t="shared" si="15"/>
        <v>Positive Attitude</v>
      </c>
      <c r="AA60" t="e">
        <f t="shared" si="16"/>
        <v>#VALUE!</v>
      </c>
      <c r="AB60" t="e">
        <f t="shared" si="17"/>
        <v>#VALUE!</v>
      </c>
    </row>
    <row r="61" spans="1:28">
      <c r="A61" t="s">
        <v>282</v>
      </c>
      <c r="B61" t="s">
        <v>283</v>
      </c>
      <c r="C61" t="s">
        <v>11</v>
      </c>
      <c r="D61" t="str">
        <f t="shared" si="0"/>
        <v>Nisha Bansal(E1060)-Sales</v>
      </c>
      <c r="E61" t="str">
        <f t="shared" si="1"/>
        <v>Sales</v>
      </c>
      <c r="F61" t="s">
        <v>89</v>
      </c>
      <c r="G61" t="s">
        <v>284</v>
      </c>
      <c r="H61" t="str">
        <f t="shared" si="2"/>
        <v>Monday</v>
      </c>
      <c r="I61" t="str">
        <f t="shared" si="3"/>
        <v>Mon</v>
      </c>
      <c r="J61" t="str">
        <f t="shared" si="4"/>
        <v>day</v>
      </c>
      <c r="K61" t="str">
        <f t="shared" si="5"/>
        <v>Sep</v>
      </c>
      <c r="L61">
        <f t="shared" si="6"/>
        <v>2023</v>
      </c>
      <c r="M61" t="s">
        <v>285</v>
      </c>
      <c r="N61">
        <f t="shared" si="7"/>
        <v>19</v>
      </c>
      <c r="O61">
        <f t="shared" si="8"/>
        <v>22</v>
      </c>
      <c r="P61">
        <f t="shared" si="9"/>
        <v>8</v>
      </c>
      <c r="Q61">
        <v>99937</v>
      </c>
      <c r="R61">
        <v>89379</v>
      </c>
      <c r="S61" t="str">
        <f t="shared" si="10"/>
        <v>high target</v>
      </c>
      <c r="T61" t="str">
        <f t="shared" si="11"/>
        <v>high target</v>
      </c>
      <c r="U61" t="s">
        <v>213</v>
      </c>
      <c r="V61">
        <f t="shared" si="12"/>
        <v>17</v>
      </c>
      <c r="W61" t="str">
        <f t="shared" si="13"/>
        <v>POSITIVE ATTITUDE</v>
      </c>
      <c r="X61" t="str">
        <f t="shared" si="14"/>
        <v>positive attitude</v>
      </c>
      <c r="Y61" t="str">
        <f t="shared" si="15"/>
        <v>Positive Attitude</v>
      </c>
      <c r="AA61" t="e">
        <f t="shared" si="16"/>
        <v>#VALUE!</v>
      </c>
      <c r="AB61" t="e">
        <f t="shared" si="17"/>
        <v>#VALUE!</v>
      </c>
    </row>
    <row r="62" spans="1:28">
      <c r="A62" t="s">
        <v>286</v>
      </c>
      <c r="B62" t="s">
        <v>287</v>
      </c>
      <c r="C62" t="s">
        <v>53</v>
      </c>
      <c r="D62" t="str">
        <f t="shared" si="0"/>
        <v>Aditya Chopra(E1061)-HR</v>
      </c>
      <c r="E62" t="str">
        <f t="shared" si="1"/>
        <v>HR</v>
      </c>
      <c r="F62" t="s">
        <v>79</v>
      </c>
      <c r="G62" t="s">
        <v>85</v>
      </c>
      <c r="H62" t="str">
        <f t="shared" si="2"/>
        <v>Saturday</v>
      </c>
      <c r="I62" t="str">
        <f t="shared" si="3"/>
        <v>Sat</v>
      </c>
      <c r="J62" t="str">
        <f t="shared" si="4"/>
        <v>day</v>
      </c>
      <c r="K62" t="str">
        <f t="shared" si="5"/>
        <v>Mar</v>
      </c>
      <c r="L62">
        <f t="shared" si="6"/>
        <v>2022</v>
      </c>
      <c r="M62" t="s">
        <v>288</v>
      </c>
      <c r="N62">
        <f t="shared" si="7"/>
        <v>31</v>
      </c>
      <c r="O62">
        <f t="shared" si="8"/>
        <v>27</v>
      </c>
      <c r="P62">
        <f t="shared" si="9"/>
        <v>9</v>
      </c>
      <c r="Q62">
        <v>52386</v>
      </c>
      <c r="R62">
        <v>41902</v>
      </c>
      <c r="S62" t="str">
        <f t="shared" si="10"/>
        <v>low target</v>
      </c>
      <c r="T62" t="str">
        <f t="shared" si="11"/>
        <v>mid target</v>
      </c>
      <c r="U62" t="s">
        <v>121</v>
      </c>
      <c r="V62">
        <f t="shared" si="12"/>
        <v>14</v>
      </c>
      <c r="W62" t="str">
        <f t="shared" si="13"/>
        <v>CREATIVE IDEAS</v>
      </c>
      <c r="X62" t="str">
        <f t="shared" si="14"/>
        <v>creative ideas</v>
      </c>
      <c r="Y62" t="str">
        <f t="shared" si="15"/>
        <v>Creative Ideas</v>
      </c>
      <c r="AA62" t="e">
        <f t="shared" si="16"/>
        <v>#VALUE!</v>
      </c>
      <c r="AB62" t="e">
        <f t="shared" si="17"/>
        <v>#VALUE!</v>
      </c>
    </row>
    <row r="63" spans="1:28">
      <c r="A63" t="s">
        <v>289</v>
      </c>
      <c r="B63" t="s">
        <v>290</v>
      </c>
      <c r="C63" t="s">
        <v>53</v>
      </c>
      <c r="D63" t="str">
        <f t="shared" si="0"/>
        <v>Nidhi Bansal(E1062)-HR</v>
      </c>
      <c r="E63" t="str">
        <f t="shared" si="1"/>
        <v>HR</v>
      </c>
      <c r="F63" t="s">
        <v>79</v>
      </c>
      <c r="G63" t="s">
        <v>291</v>
      </c>
      <c r="H63" t="str">
        <f t="shared" si="2"/>
        <v>Sunday</v>
      </c>
      <c r="I63" t="str">
        <f t="shared" si="3"/>
        <v>Sun</v>
      </c>
      <c r="J63" t="str">
        <f t="shared" si="4"/>
        <v>day</v>
      </c>
      <c r="K63" t="str">
        <f t="shared" si="5"/>
        <v>Sep</v>
      </c>
      <c r="L63">
        <f t="shared" si="6"/>
        <v>2021</v>
      </c>
      <c r="M63" t="s">
        <v>292</v>
      </c>
      <c r="N63">
        <f t="shared" si="7"/>
        <v>1</v>
      </c>
      <c r="O63">
        <f t="shared" si="8"/>
        <v>34</v>
      </c>
      <c r="P63">
        <f t="shared" si="9"/>
        <v>10</v>
      </c>
      <c r="Q63">
        <v>110258</v>
      </c>
      <c r="R63">
        <v>99436</v>
      </c>
      <c r="S63" t="str">
        <f t="shared" si="10"/>
        <v>high target</v>
      </c>
      <c r="T63" t="str">
        <f t="shared" si="11"/>
        <v>high target</v>
      </c>
      <c r="U63" t="s">
        <v>15</v>
      </c>
      <c r="V63">
        <f t="shared" si="12"/>
        <v>20</v>
      </c>
      <c r="W63" t="str">
        <f t="shared" si="13"/>
        <v>EXCELLENT LEADERSHIP</v>
      </c>
      <c r="X63" t="str">
        <f t="shared" si="14"/>
        <v>excellent leadership</v>
      </c>
      <c r="Y63" t="str">
        <f t="shared" si="15"/>
        <v>Excellent Leadership</v>
      </c>
      <c r="AA63" t="e">
        <f t="shared" si="16"/>
        <v>#VALUE!</v>
      </c>
      <c r="AB63" t="e">
        <f t="shared" si="17"/>
        <v>#VALUE!</v>
      </c>
    </row>
    <row r="64" spans="1:28">
      <c r="A64" t="s">
        <v>293</v>
      </c>
      <c r="B64" t="s">
        <v>294</v>
      </c>
      <c r="C64" t="s">
        <v>11</v>
      </c>
      <c r="D64" t="str">
        <f t="shared" si="0"/>
        <v>Manish Sharma(E1063)-Sales</v>
      </c>
      <c r="E64" t="str">
        <f t="shared" si="1"/>
        <v>Sales</v>
      </c>
      <c r="F64" t="s">
        <v>89</v>
      </c>
      <c r="G64" t="s">
        <v>295</v>
      </c>
      <c r="H64" t="str">
        <f t="shared" si="2"/>
        <v>Tuesday</v>
      </c>
      <c r="I64" t="str">
        <f t="shared" si="3"/>
        <v>Tue</v>
      </c>
      <c r="J64" t="str">
        <f t="shared" si="4"/>
        <v>day</v>
      </c>
      <c r="K64" t="str">
        <f t="shared" si="5"/>
        <v>Oct</v>
      </c>
      <c r="L64">
        <f t="shared" si="6"/>
        <v>2021</v>
      </c>
      <c r="M64" t="s">
        <v>296</v>
      </c>
      <c r="N64">
        <f t="shared" si="7"/>
        <v>3</v>
      </c>
      <c r="O64">
        <f t="shared" si="8"/>
        <v>11</v>
      </c>
      <c r="P64">
        <f t="shared" si="9"/>
        <v>9</v>
      </c>
      <c r="Q64">
        <v>66893</v>
      </c>
      <c r="R64">
        <v>57049</v>
      </c>
      <c r="S64" t="str">
        <f t="shared" si="10"/>
        <v>high target</v>
      </c>
      <c r="T64" t="str">
        <f t="shared" si="11"/>
        <v>mid target</v>
      </c>
      <c r="U64" t="s">
        <v>121</v>
      </c>
      <c r="V64">
        <f t="shared" si="12"/>
        <v>14</v>
      </c>
      <c r="W64" t="str">
        <f t="shared" si="13"/>
        <v>CREATIVE IDEAS</v>
      </c>
      <c r="X64" t="str">
        <f t="shared" si="14"/>
        <v>creative ideas</v>
      </c>
      <c r="Y64" t="str">
        <f t="shared" si="15"/>
        <v>Creative Ideas</v>
      </c>
      <c r="AA64" t="e">
        <f t="shared" si="16"/>
        <v>#VALUE!</v>
      </c>
      <c r="AB64" t="e">
        <f t="shared" si="17"/>
        <v>#VALUE!</v>
      </c>
    </row>
    <row r="65" spans="1:28">
      <c r="A65" t="s">
        <v>297</v>
      </c>
      <c r="B65" t="s">
        <v>298</v>
      </c>
      <c r="C65" t="s">
        <v>41</v>
      </c>
      <c r="D65" t="str">
        <f t="shared" si="0"/>
        <v>Karan Malhotra(E1064)-Finance</v>
      </c>
      <c r="E65" t="str">
        <f t="shared" si="1"/>
        <v>Finance</v>
      </c>
      <c r="F65" t="s">
        <v>34</v>
      </c>
      <c r="G65" t="s">
        <v>299</v>
      </c>
      <c r="H65" t="str">
        <f t="shared" si="2"/>
        <v>Thursday</v>
      </c>
      <c r="I65" t="str">
        <f t="shared" si="3"/>
        <v>Thu</v>
      </c>
      <c r="J65" t="str">
        <f t="shared" si="4"/>
        <v>day</v>
      </c>
      <c r="K65" t="str">
        <f t="shared" si="5"/>
        <v>Feb</v>
      </c>
      <c r="L65">
        <f t="shared" si="6"/>
        <v>2023</v>
      </c>
      <c r="M65" t="s">
        <v>300</v>
      </c>
      <c r="N65">
        <f t="shared" si="7"/>
        <v>53</v>
      </c>
      <c r="O65">
        <f t="shared" si="8"/>
        <v>48</v>
      </c>
      <c r="P65">
        <f t="shared" si="9"/>
        <v>9</v>
      </c>
      <c r="Q65">
        <v>69159</v>
      </c>
      <c r="R65">
        <v>67627</v>
      </c>
      <c r="S65" t="str">
        <f t="shared" si="10"/>
        <v>high target</v>
      </c>
      <c r="T65" t="str">
        <f t="shared" si="11"/>
        <v>mid target</v>
      </c>
      <c r="U65" t="s">
        <v>213</v>
      </c>
      <c r="V65">
        <f t="shared" si="12"/>
        <v>17</v>
      </c>
      <c r="W65" t="str">
        <f t="shared" si="13"/>
        <v>POSITIVE ATTITUDE</v>
      </c>
      <c r="X65" t="str">
        <f t="shared" si="14"/>
        <v>positive attitude</v>
      </c>
      <c r="Y65" t="str">
        <f t="shared" si="15"/>
        <v>Positive Attitude</v>
      </c>
      <c r="AA65" t="e">
        <f t="shared" si="16"/>
        <v>#VALUE!</v>
      </c>
      <c r="AB65" t="e">
        <f t="shared" si="17"/>
        <v>#VALUE!</v>
      </c>
    </row>
    <row r="66" spans="1:28">
      <c r="A66" t="s">
        <v>301</v>
      </c>
      <c r="B66" t="s">
        <v>302</v>
      </c>
      <c r="C66" t="s">
        <v>11</v>
      </c>
      <c r="D66" t="str">
        <f t="shared" si="0"/>
        <v>Rahul Agarwal(E1065)-Sales</v>
      </c>
      <c r="E66" t="str">
        <f t="shared" si="1"/>
        <v>Sales</v>
      </c>
      <c r="F66" t="s">
        <v>72</v>
      </c>
      <c r="G66" t="s">
        <v>303</v>
      </c>
      <c r="H66" t="str">
        <f t="shared" si="2"/>
        <v>Sunday</v>
      </c>
      <c r="I66" t="str">
        <f t="shared" si="3"/>
        <v>Sun</v>
      </c>
      <c r="J66" t="str">
        <f t="shared" si="4"/>
        <v>day</v>
      </c>
      <c r="K66" t="str">
        <f t="shared" si="5"/>
        <v>Dec</v>
      </c>
      <c r="L66">
        <f t="shared" si="6"/>
        <v>2022</v>
      </c>
      <c r="M66" t="s">
        <v>304</v>
      </c>
      <c r="N66">
        <f t="shared" si="7"/>
        <v>4</v>
      </c>
      <c r="O66">
        <f t="shared" si="8"/>
        <v>41</v>
      </c>
      <c r="P66">
        <f t="shared" si="9"/>
        <v>8</v>
      </c>
      <c r="Q66">
        <v>78836</v>
      </c>
      <c r="R66">
        <v>91198</v>
      </c>
      <c r="S66" t="str">
        <f t="shared" si="10"/>
        <v>high target</v>
      </c>
      <c r="T66" t="str">
        <f t="shared" si="11"/>
        <v>high target</v>
      </c>
      <c r="U66" t="s">
        <v>30</v>
      </c>
      <c r="V66">
        <f t="shared" si="12"/>
        <v>16</v>
      </c>
      <c r="W66" t="str">
        <f t="shared" si="13"/>
        <v>CUSTOMER FOCUSED</v>
      </c>
      <c r="X66" t="str">
        <f t="shared" si="14"/>
        <v>customer focused</v>
      </c>
      <c r="Y66" t="str">
        <f t="shared" si="15"/>
        <v>Customer Focused</v>
      </c>
      <c r="AA66" t="e">
        <f t="shared" si="16"/>
        <v>#VALUE!</v>
      </c>
      <c r="AB66" t="e">
        <f t="shared" si="17"/>
        <v>#VALUE!</v>
      </c>
    </row>
    <row r="67" spans="1:28">
      <c r="A67" t="s">
        <v>305</v>
      </c>
      <c r="B67" t="s">
        <v>306</v>
      </c>
      <c r="C67" t="s">
        <v>53</v>
      </c>
      <c r="D67" t="str">
        <f t="shared" ref="D67:D130" si="18">_xlfn.CONCAT(B67,"(",A67,")","-",C67)</f>
        <v>Amit Nair(E1066)-HR</v>
      </c>
      <c r="E67" t="str">
        <f t="shared" ref="E67:E130" si="19">RIGHT(D67,LEN(D67)-FIND("-",D67))</f>
        <v>HR</v>
      </c>
      <c r="F67" t="s">
        <v>72</v>
      </c>
      <c r="G67" t="s">
        <v>307</v>
      </c>
      <c r="H67" t="str">
        <f t="shared" ref="H67:H130" si="20">TEXT(G67,"dddd")</f>
        <v>Wednesday</v>
      </c>
      <c r="I67" t="str">
        <f t="shared" ref="I67:I130" si="21">LEFT(H67,3)</f>
        <v>Wed</v>
      </c>
      <c r="J67" t="str">
        <f t="shared" ref="J67:J130" si="22">RIGHT(H67,3)</f>
        <v>day</v>
      </c>
      <c r="K67" t="str">
        <f t="shared" ref="K67:K130" si="23">TEXT(G67,"mmm")</f>
        <v>Jun</v>
      </c>
      <c r="L67">
        <f t="shared" ref="L67:L130" si="24">YEAR(G67)</f>
        <v>2024</v>
      </c>
      <c r="M67" t="s">
        <v>308</v>
      </c>
      <c r="N67">
        <f t="shared" ref="N67:N130" si="25">SECOND(M67)</f>
        <v>8</v>
      </c>
      <c r="O67">
        <f t="shared" ref="O67:O130" si="26">MINUTE(M67)</f>
        <v>15</v>
      </c>
      <c r="P67">
        <f t="shared" ref="P67:P130" si="27">HOUR(M67)</f>
        <v>8</v>
      </c>
      <c r="Q67">
        <v>63531</v>
      </c>
      <c r="R67">
        <v>71035</v>
      </c>
      <c r="S67" t="str">
        <f t="shared" ref="S67:S130" si="28">IF(R67&gt;50000,"high target","low target")</f>
        <v>high target</v>
      </c>
      <c r="T67" t="str">
        <f t="shared" ref="T67:T130" si="29">_xlfn.IFS(R67&lt;40000,"low target",R67&lt;70000,"mid target",R67&gt;70000,"high target")</f>
        <v>high target</v>
      </c>
      <c r="U67" t="s">
        <v>15</v>
      </c>
      <c r="V67">
        <f t="shared" ref="V67:V130" si="30">LEN(U67)</f>
        <v>20</v>
      </c>
      <c r="W67" t="str">
        <f t="shared" ref="W67:W130" si="31">UPPER(U67)</f>
        <v>EXCELLENT LEADERSHIP</v>
      </c>
      <c r="X67" t="str">
        <f t="shared" ref="X67:X130" si="32">LOWER(U67)</f>
        <v>excellent leadership</v>
      </c>
      <c r="Y67" t="str">
        <f t="shared" ref="Y67:Y130" si="33">PROPER(U67)</f>
        <v>Excellent Leadership</v>
      </c>
      <c r="AA67" t="e">
        <f t="shared" ref="AA67:AA130" si="34">LEFT(Z67,FIND("-",Z67,1)-1)</f>
        <v>#VALUE!</v>
      </c>
      <c r="AB67" t="e">
        <f t="shared" ref="AB67:AB130" si="35">RIGHT(Z67,LEN(Z67)-FIND("-",Z67))</f>
        <v>#VALUE!</v>
      </c>
    </row>
    <row r="68" spans="1:28">
      <c r="A68" t="s">
        <v>309</v>
      </c>
      <c r="B68" t="s">
        <v>298</v>
      </c>
      <c r="C68" t="s">
        <v>41</v>
      </c>
      <c r="D68" t="str">
        <f t="shared" si="18"/>
        <v>Karan Malhotra(E1067)-Finance</v>
      </c>
      <c r="E68" t="str">
        <f t="shared" si="19"/>
        <v>Finance</v>
      </c>
      <c r="F68" t="s">
        <v>34</v>
      </c>
      <c r="G68" t="s">
        <v>310</v>
      </c>
      <c r="H68" t="str">
        <f t="shared" si="20"/>
        <v>Friday</v>
      </c>
      <c r="I68" t="str">
        <f t="shared" si="21"/>
        <v>Fri</v>
      </c>
      <c r="J68" t="str">
        <f t="shared" si="22"/>
        <v>day</v>
      </c>
      <c r="K68" t="str">
        <f t="shared" si="23"/>
        <v>Dec</v>
      </c>
      <c r="L68">
        <f t="shared" si="24"/>
        <v>2021</v>
      </c>
      <c r="M68" t="s">
        <v>311</v>
      </c>
      <c r="N68">
        <f t="shared" si="25"/>
        <v>47</v>
      </c>
      <c r="O68">
        <f t="shared" si="26"/>
        <v>38</v>
      </c>
      <c r="P68">
        <f t="shared" si="27"/>
        <v>10</v>
      </c>
      <c r="Q68">
        <v>79584</v>
      </c>
      <c r="R68">
        <v>87078</v>
      </c>
      <c r="S68" t="str">
        <f t="shared" si="28"/>
        <v>high target</v>
      </c>
      <c r="T68" t="str">
        <f t="shared" si="29"/>
        <v>high target</v>
      </c>
      <c r="U68" t="s">
        <v>30</v>
      </c>
      <c r="V68">
        <f t="shared" si="30"/>
        <v>16</v>
      </c>
      <c r="W68" t="str">
        <f t="shared" si="31"/>
        <v>CUSTOMER FOCUSED</v>
      </c>
      <c r="X68" t="str">
        <f t="shared" si="32"/>
        <v>customer focused</v>
      </c>
      <c r="Y68" t="str">
        <f t="shared" si="33"/>
        <v>Customer Focused</v>
      </c>
      <c r="AA68" t="e">
        <f t="shared" si="34"/>
        <v>#VALUE!</v>
      </c>
      <c r="AB68" t="e">
        <f t="shared" si="35"/>
        <v>#VALUE!</v>
      </c>
    </row>
    <row r="69" spans="1:28">
      <c r="A69" t="s">
        <v>312</v>
      </c>
      <c r="B69" t="s">
        <v>313</v>
      </c>
      <c r="C69" t="s">
        <v>41</v>
      </c>
      <c r="D69" t="str">
        <f t="shared" si="18"/>
        <v>Varun Joshi(E1068)-Finance</v>
      </c>
      <c r="E69" t="str">
        <f t="shared" si="19"/>
        <v>Finance</v>
      </c>
      <c r="F69" t="s">
        <v>19</v>
      </c>
      <c r="G69" t="s">
        <v>314</v>
      </c>
      <c r="H69" t="str">
        <f t="shared" si="20"/>
        <v>Sunday</v>
      </c>
      <c r="I69" t="str">
        <f t="shared" si="21"/>
        <v>Sun</v>
      </c>
      <c r="J69" t="str">
        <f t="shared" si="22"/>
        <v>day</v>
      </c>
      <c r="K69" t="str">
        <f t="shared" si="23"/>
        <v>Mar</v>
      </c>
      <c r="L69">
        <f t="shared" si="24"/>
        <v>2024</v>
      </c>
      <c r="M69" t="s">
        <v>315</v>
      </c>
      <c r="N69">
        <f t="shared" si="25"/>
        <v>19</v>
      </c>
      <c r="O69">
        <f t="shared" si="26"/>
        <v>59</v>
      </c>
      <c r="P69">
        <f t="shared" si="27"/>
        <v>8</v>
      </c>
      <c r="Q69">
        <v>87331</v>
      </c>
      <c r="R69">
        <v>77735</v>
      </c>
      <c r="S69" t="str">
        <f t="shared" si="28"/>
        <v>high target</v>
      </c>
      <c r="T69" t="str">
        <f t="shared" si="29"/>
        <v>high target</v>
      </c>
      <c r="U69" t="s">
        <v>168</v>
      </c>
      <c r="V69">
        <f t="shared" si="30"/>
        <v>17</v>
      </c>
      <c r="W69" t="str">
        <f t="shared" si="31"/>
        <v>DETAILED ANALYSIS</v>
      </c>
      <c r="X69" t="str">
        <f t="shared" si="32"/>
        <v>detailed analysis</v>
      </c>
      <c r="Y69" t="str">
        <f t="shared" si="33"/>
        <v>Detailed Analysis</v>
      </c>
      <c r="AA69" t="e">
        <f t="shared" si="34"/>
        <v>#VALUE!</v>
      </c>
      <c r="AB69" t="e">
        <f t="shared" si="35"/>
        <v>#VALUE!</v>
      </c>
    </row>
    <row r="70" spans="1:28">
      <c r="A70" t="s">
        <v>316</v>
      </c>
      <c r="B70" t="s">
        <v>317</v>
      </c>
      <c r="C70" t="s">
        <v>11</v>
      </c>
      <c r="D70" t="str">
        <f t="shared" si="18"/>
        <v>Siddharth Mehta(E1069)-Sales</v>
      </c>
      <c r="E70" t="str">
        <f t="shared" si="19"/>
        <v>Sales</v>
      </c>
      <c r="F70" t="s">
        <v>27</v>
      </c>
      <c r="G70" t="s">
        <v>318</v>
      </c>
      <c r="H70" t="str">
        <f t="shared" si="20"/>
        <v>Wednesday</v>
      </c>
      <c r="I70" t="str">
        <f t="shared" si="21"/>
        <v>Wed</v>
      </c>
      <c r="J70" t="str">
        <f t="shared" si="22"/>
        <v>day</v>
      </c>
      <c r="K70" t="str">
        <f t="shared" si="23"/>
        <v>Jul</v>
      </c>
      <c r="L70">
        <f t="shared" si="24"/>
        <v>2021</v>
      </c>
      <c r="M70" t="s">
        <v>319</v>
      </c>
      <c r="N70">
        <f t="shared" si="25"/>
        <v>19</v>
      </c>
      <c r="O70">
        <f t="shared" si="26"/>
        <v>49</v>
      </c>
      <c r="P70">
        <f t="shared" si="27"/>
        <v>10</v>
      </c>
      <c r="Q70">
        <v>88657</v>
      </c>
      <c r="R70">
        <v>95724</v>
      </c>
      <c r="S70" t="str">
        <f t="shared" si="28"/>
        <v>high target</v>
      </c>
      <c r="T70" t="str">
        <f t="shared" si="29"/>
        <v>high target</v>
      </c>
      <c r="U70" t="s">
        <v>30</v>
      </c>
      <c r="V70">
        <f t="shared" si="30"/>
        <v>16</v>
      </c>
      <c r="W70" t="str">
        <f t="shared" si="31"/>
        <v>CUSTOMER FOCUSED</v>
      </c>
      <c r="X70" t="str">
        <f t="shared" si="32"/>
        <v>customer focused</v>
      </c>
      <c r="Y70" t="str">
        <f t="shared" si="33"/>
        <v>Customer Focused</v>
      </c>
      <c r="AA70" t="e">
        <f t="shared" si="34"/>
        <v>#VALUE!</v>
      </c>
      <c r="AB70" t="e">
        <f t="shared" si="35"/>
        <v>#VALUE!</v>
      </c>
    </row>
    <row r="71" spans="1:28">
      <c r="A71" t="s">
        <v>320</v>
      </c>
      <c r="B71" t="s">
        <v>321</v>
      </c>
      <c r="C71" t="s">
        <v>41</v>
      </c>
      <c r="D71" t="str">
        <f t="shared" si="18"/>
        <v>Manish Patel(E1070)-Finance</v>
      </c>
      <c r="E71" t="str">
        <f t="shared" si="19"/>
        <v>Finance</v>
      </c>
      <c r="F71" t="s">
        <v>89</v>
      </c>
      <c r="G71" t="s">
        <v>322</v>
      </c>
      <c r="H71" t="str">
        <f t="shared" si="20"/>
        <v>Monday</v>
      </c>
      <c r="I71" t="str">
        <f t="shared" si="21"/>
        <v>Mon</v>
      </c>
      <c r="J71" t="str">
        <f t="shared" si="22"/>
        <v>day</v>
      </c>
      <c r="K71" t="str">
        <f t="shared" si="23"/>
        <v>Sep</v>
      </c>
      <c r="L71">
        <f t="shared" si="24"/>
        <v>2024</v>
      </c>
      <c r="M71" t="s">
        <v>323</v>
      </c>
      <c r="N71">
        <f t="shared" si="25"/>
        <v>32</v>
      </c>
      <c r="O71">
        <f t="shared" si="26"/>
        <v>4</v>
      </c>
      <c r="P71">
        <f t="shared" si="27"/>
        <v>9</v>
      </c>
      <c r="Q71">
        <v>89799</v>
      </c>
      <c r="R71">
        <v>82437</v>
      </c>
      <c r="S71" t="str">
        <f t="shared" si="28"/>
        <v>high target</v>
      </c>
      <c r="T71" t="str">
        <f t="shared" si="29"/>
        <v>high target</v>
      </c>
      <c r="U71" t="s">
        <v>159</v>
      </c>
      <c r="V71">
        <f t="shared" si="30"/>
        <v>17</v>
      </c>
      <c r="W71" t="str">
        <f t="shared" si="31"/>
        <v>EXCELLENT SERVICE</v>
      </c>
      <c r="X71" t="str">
        <f t="shared" si="32"/>
        <v>excellent service</v>
      </c>
      <c r="Y71" t="str">
        <f t="shared" si="33"/>
        <v>Excellent Service</v>
      </c>
      <c r="AA71" t="e">
        <f t="shared" si="34"/>
        <v>#VALUE!</v>
      </c>
      <c r="AB71" t="e">
        <f t="shared" si="35"/>
        <v>#VALUE!</v>
      </c>
    </row>
    <row r="72" spans="1:28">
      <c r="A72" t="s">
        <v>324</v>
      </c>
      <c r="B72" t="s">
        <v>325</v>
      </c>
      <c r="C72" t="s">
        <v>26</v>
      </c>
      <c r="D72" t="str">
        <f t="shared" si="18"/>
        <v>Isha Chopra(E1071)-Marketing</v>
      </c>
      <c r="E72" t="str">
        <f t="shared" si="19"/>
        <v>Marketing</v>
      </c>
      <c r="F72" t="s">
        <v>19</v>
      </c>
      <c r="G72" t="s">
        <v>326</v>
      </c>
      <c r="H72" t="str">
        <f t="shared" si="20"/>
        <v>Wednesday</v>
      </c>
      <c r="I72" t="str">
        <f t="shared" si="21"/>
        <v>Wed</v>
      </c>
      <c r="J72" t="str">
        <f t="shared" si="22"/>
        <v>day</v>
      </c>
      <c r="K72" t="str">
        <f t="shared" si="23"/>
        <v>Jun</v>
      </c>
      <c r="L72">
        <f t="shared" si="24"/>
        <v>2023</v>
      </c>
      <c r="M72" t="s">
        <v>327</v>
      </c>
      <c r="N72">
        <f t="shared" si="25"/>
        <v>57</v>
      </c>
      <c r="O72">
        <f t="shared" si="26"/>
        <v>40</v>
      </c>
      <c r="P72">
        <f t="shared" si="27"/>
        <v>9</v>
      </c>
      <c r="Q72">
        <v>109439</v>
      </c>
      <c r="R72">
        <v>94310</v>
      </c>
      <c r="S72" t="str">
        <f t="shared" si="28"/>
        <v>high target</v>
      </c>
      <c r="T72" t="str">
        <f t="shared" si="29"/>
        <v>high target</v>
      </c>
      <c r="U72" t="s">
        <v>22</v>
      </c>
      <c r="V72">
        <f t="shared" si="30"/>
        <v>13</v>
      </c>
      <c r="W72" t="str">
        <f t="shared" si="31"/>
        <v>FAST DELIVERY</v>
      </c>
      <c r="X72" t="str">
        <f t="shared" si="32"/>
        <v>fast delivery</v>
      </c>
      <c r="Y72" t="str">
        <f t="shared" si="33"/>
        <v>Fast Delivery</v>
      </c>
      <c r="AA72" t="e">
        <f t="shared" si="34"/>
        <v>#VALUE!</v>
      </c>
      <c r="AB72" t="e">
        <f t="shared" si="35"/>
        <v>#VALUE!</v>
      </c>
    </row>
    <row r="73" spans="1:28">
      <c r="A73" t="s">
        <v>328</v>
      </c>
      <c r="B73" t="s">
        <v>329</v>
      </c>
      <c r="C73" t="s">
        <v>53</v>
      </c>
      <c r="D73" t="str">
        <f t="shared" si="18"/>
        <v>Arjun Chopra(E1072)-HR</v>
      </c>
      <c r="E73" t="str">
        <f t="shared" si="19"/>
        <v>HR</v>
      </c>
      <c r="F73" t="s">
        <v>12</v>
      </c>
      <c r="G73" t="s">
        <v>330</v>
      </c>
      <c r="H73" t="str">
        <f t="shared" si="20"/>
        <v>Saturday</v>
      </c>
      <c r="I73" t="str">
        <f t="shared" si="21"/>
        <v>Sat</v>
      </c>
      <c r="J73" t="str">
        <f t="shared" si="22"/>
        <v>day</v>
      </c>
      <c r="K73" t="str">
        <f t="shared" si="23"/>
        <v>Jun</v>
      </c>
      <c r="L73">
        <f t="shared" si="24"/>
        <v>2024</v>
      </c>
      <c r="M73" t="s">
        <v>331</v>
      </c>
      <c r="N73">
        <f t="shared" si="25"/>
        <v>30</v>
      </c>
      <c r="O73">
        <f t="shared" si="26"/>
        <v>49</v>
      </c>
      <c r="P73">
        <f t="shared" si="27"/>
        <v>10</v>
      </c>
      <c r="Q73">
        <v>84010</v>
      </c>
      <c r="R73">
        <v>70465</v>
      </c>
      <c r="S73" t="str">
        <f t="shared" si="28"/>
        <v>high target</v>
      </c>
      <c r="T73" t="str">
        <f t="shared" si="29"/>
        <v>high target</v>
      </c>
      <c r="U73" t="s">
        <v>213</v>
      </c>
      <c r="V73">
        <f t="shared" si="30"/>
        <v>17</v>
      </c>
      <c r="W73" t="str">
        <f t="shared" si="31"/>
        <v>POSITIVE ATTITUDE</v>
      </c>
      <c r="X73" t="str">
        <f t="shared" si="32"/>
        <v>positive attitude</v>
      </c>
      <c r="Y73" t="str">
        <f t="shared" si="33"/>
        <v>Positive Attitude</v>
      </c>
      <c r="AA73" t="e">
        <f t="shared" si="34"/>
        <v>#VALUE!</v>
      </c>
      <c r="AB73" t="e">
        <f t="shared" si="35"/>
        <v>#VALUE!</v>
      </c>
    </row>
    <row r="74" spans="1:28">
      <c r="A74" t="s">
        <v>332</v>
      </c>
      <c r="B74" t="s">
        <v>333</v>
      </c>
      <c r="C74" t="s">
        <v>41</v>
      </c>
      <c r="D74" t="str">
        <f t="shared" si="18"/>
        <v>Komal Mishra(E1073)-Finance</v>
      </c>
      <c r="E74" t="str">
        <f t="shared" si="19"/>
        <v>Finance</v>
      </c>
      <c r="F74" t="s">
        <v>34</v>
      </c>
      <c r="G74" t="s">
        <v>334</v>
      </c>
      <c r="H74" t="str">
        <f t="shared" si="20"/>
        <v>Wednesday</v>
      </c>
      <c r="I74" t="str">
        <f t="shared" si="21"/>
        <v>Wed</v>
      </c>
      <c r="J74" t="str">
        <f t="shared" si="22"/>
        <v>day</v>
      </c>
      <c r="K74" t="str">
        <f t="shared" si="23"/>
        <v>May</v>
      </c>
      <c r="L74">
        <f t="shared" si="24"/>
        <v>2022</v>
      </c>
      <c r="M74" t="s">
        <v>335</v>
      </c>
      <c r="N74">
        <f t="shared" si="25"/>
        <v>56</v>
      </c>
      <c r="O74">
        <f t="shared" si="26"/>
        <v>17</v>
      </c>
      <c r="P74">
        <f t="shared" si="27"/>
        <v>8</v>
      </c>
      <c r="Q74">
        <v>70524</v>
      </c>
      <c r="R74">
        <v>69543</v>
      </c>
      <c r="S74" t="str">
        <f t="shared" si="28"/>
        <v>high target</v>
      </c>
      <c r="T74" t="str">
        <f t="shared" si="29"/>
        <v>mid target</v>
      </c>
      <c r="U74" t="s">
        <v>30</v>
      </c>
      <c r="V74">
        <f t="shared" si="30"/>
        <v>16</v>
      </c>
      <c r="W74" t="str">
        <f t="shared" si="31"/>
        <v>CUSTOMER FOCUSED</v>
      </c>
      <c r="X74" t="str">
        <f t="shared" si="32"/>
        <v>customer focused</v>
      </c>
      <c r="Y74" t="str">
        <f t="shared" si="33"/>
        <v>Customer Focused</v>
      </c>
      <c r="AA74" t="e">
        <f t="shared" si="34"/>
        <v>#VALUE!</v>
      </c>
      <c r="AB74" t="e">
        <f t="shared" si="35"/>
        <v>#VALUE!</v>
      </c>
    </row>
    <row r="75" spans="1:28">
      <c r="A75" t="s">
        <v>336</v>
      </c>
      <c r="B75" t="s">
        <v>337</v>
      </c>
      <c r="C75" t="s">
        <v>26</v>
      </c>
      <c r="D75" t="str">
        <f t="shared" si="18"/>
        <v>Deepak Mishra(E1074)-Marketing</v>
      </c>
      <c r="E75" t="str">
        <f t="shared" si="19"/>
        <v>Marketing</v>
      </c>
      <c r="F75" t="s">
        <v>34</v>
      </c>
      <c r="G75" t="s">
        <v>338</v>
      </c>
      <c r="H75" t="str">
        <f t="shared" si="20"/>
        <v>Sunday</v>
      </c>
      <c r="I75" t="str">
        <f t="shared" si="21"/>
        <v>Sun</v>
      </c>
      <c r="J75" t="str">
        <f t="shared" si="22"/>
        <v>day</v>
      </c>
      <c r="K75" t="str">
        <f t="shared" si="23"/>
        <v>Feb</v>
      </c>
      <c r="L75">
        <f t="shared" si="24"/>
        <v>2021</v>
      </c>
      <c r="M75" t="s">
        <v>339</v>
      </c>
      <c r="N75">
        <f t="shared" si="25"/>
        <v>20</v>
      </c>
      <c r="O75">
        <f t="shared" si="26"/>
        <v>54</v>
      </c>
      <c r="P75">
        <f t="shared" si="27"/>
        <v>9</v>
      </c>
      <c r="Q75">
        <v>68869</v>
      </c>
      <c r="R75">
        <v>51917</v>
      </c>
      <c r="S75" t="str">
        <f t="shared" si="28"/>
        <v>high target</v>
      </c>
      <c r="T75" t="str">
        <f t="shared" si="29"/>
        <v>mid target</v>
      </c>
      <c r="U75" t="s">
        <v>75</v>
      </c>
      <c r="V75">
        <f t="shared" si="30"/>
        <v>16</v>
      </c>
      <c r="W75" t="str">
        <f t="shared" si="31"/>
        <v>ACCURATE REPORTS</v>
      </c>
      <c r="X75" t="str">
        <f t="shared" si="32"/>
        <v>accurate reports</v>
      </c>
      <c r="Y75" t="str">
        <f t="shared" si="33"/>
        <v>Accurate Reports</v>
      </c>
      <c r="AA75" t="e">
        <f t="shared" si="34"/>
        <v>#VALUE!</v>
      </c>
      <c r="AB75" t="e">
        <f t="shared" si="35"/>
        <v>#VALUE!</v>
      </c>
    </row>
    <row r="76" spans="1:28">
      <c r="A76" t="s">
        <v>340</v>
      </c>
      <c r="B76" t="s">
        <v>341</v>
      </c>
      <c r="C76" t="s">
        <v>41</v>
      </c>
      <c r="D76" t="str">
        <f t="shared" si="18"/>
        <v>Meera Shah(E1075)-Finance</v>
      </c>
      <c r="E76" t="str">
        <f t="shared" si="19"/>
        <v>Finance</v>
      </c>
      <c r="F76" t="s">
        <v>12</v>
      </c>
      <c r="G76" t="s">
        <v>342</v>
      </c>
      <c r="H76" t="str">
        <f t="shared" si="20"/>
        <v>Sunday</v>
      </c>
      <c r="I76" t="str">
        <f t="shared" si="21"/>
        <v>Sun</v>
      </c>
      <c r="J76" t="str">
        <f t="shared" si="22"/>
        <v>day</v>
      </c>
      <c r="K76" t="str">
        <f t="shared" si="23"/>
        <v>May</v>
      </c>
      <c r="L76">
        <f t="shared" si="24"/>
        <v>2024</v>
      </c>
      <c r="M76" t="s">
        <v>343</v>
      </c>
      <c r="N76">
        <f t="shared" si="25"/>
        <v>17</v>
      </c>
      <c r="O76">
        <f t="shared" si="26"/>
        <v>56</v>
      </c>
      <c r="P76">
        <f t="shared" si="27"/>
        <v>10</v>
      </c>
      <c r="Q76">
        <v>62089</v>
      </c>
      <c r="R76">
        <v>76424</v>
      </c>
      <c r="S76" t="str">
        <f t="shared" si="28"/>
        <v>high target</v>
      </c>
      <c r="T76" t="str">
        <f t="shared" si="29"/>
        <v>high target</v>
      </c>
      <c r="U76" t="s">
        <v>44</v>
      </c>
      <c r="V76">
        <f t="shared" si="30"/>
        <v>19</v>
      </c>
      <c r="W76" t="str">
        <f t="shared" si="31"/>
        <v>STRONG PRESENTATION</v>
      </c>
      <c r="X76" t="str">
        <f t="shared" si="32"/>
        <v>strong presentation</v>
      </c>
      <c r="Y76" t="str">
        <f t="shared" si="33"/>
        <v>Strong Presentation</v>
      </c>
      <c r="AA76" t="e">
        <f t="shared" si="34"/>
        <v>#VALUE!</v>
      </c>
      <c r="AB76" t="e">
        <f t="shared" si="35"/>
        <v>#VALUE!</v>
      </c>
    </row>
    <row r="77" spans="1:28">
      <c r="A77" t="s">
        <v>344</v>
      </c>
      <c r="B77" t="s">
        <v>279</v>
      </c>
      <c r="C77" t="s">
        <v>53</v>
      </c>
      <c r="D77" t="str">
        <f t="shared" si="18"/>
        <v>Karan Verma(E1076)-HR</v>
      </c>
      <c r="E77" t="str">
        <f t="shared" si="19"/>
        <v>HR</v>
      </c>
      <c r="F77" t="s">
        <v>89</v>
      </c>
      <c r="G77" t="s">
        <v>106</v>
      </c>
      <c r="H77" t="str">
        <f t="shared" si="20"/>
        <v>Thursday</v>
      </c>
      <c r="I77" t="str">
        <f t="shared" si="21"/>
        <v>Thu</v>
      </c>
      <c r="J77" t="str">
        <f t="shared" si="22"/>
        <v>day</v>
      </c>
      <c r="K77" t="str">
        <f t="shared" si="23"/>
        <v>Sep</v>
      </c>
      <c r="L77">
        <f t="shared" si="24"/>
        <v>2023</v>
      </c>
      <c r="M77" t="s">
        <v>345</v>
      </c>
      <c r="N77">
        <f t="shared" si="25"/>
        <v>15</v>
      </c>
      <c r="O77">
        <f t="shared" si="26"/>
        <v>48</v>
      </c>
      <c r="P77">
        <f t="shared" si="27"/>
        <v>10</v>
      </c>
      <c r="Q77">
        <v>101460</v>
      </c>
      <c r="R77">
        <v>85259</v>
      </c>
      <c r="S77" t="str">
        <f t="shared" si="28"/>
        <v>high target</v>
      </c>
      <c r="T77" t="str">
        <f t="shared" si="29"/>
        <v>high target</v>
      </c>
      <c r="U77" t="s">
        <v>68</v>
      </c>
      <c r="V77">
        <f t="shared" si="30"/>
        <v>13</v>
      </c>
      <c r="W77" t="str">
        <f t="shared" si="31"/>
        <v>GOOD TEAMWORK</v>
      </c>
      <c r="X77" t="str">
        <f t="shared" si="32"/>
        <v>good teamwork</v>
      </c>
      <c r="Y77" t="str">
        <f t="shared" si="33"/>
        <v>Good Teamwork</v>
      </c>
      <c r="AA77" t="e">
        <f t="shared" si="34"/>
        <v>#VALUE!</v>
      </c>
      <c r="AB77" t="e">
        <f t="shared" si="35"/>
        <v>#VALUE!</v>
      </c>
    </row>
    <row r="78" spans="1:28">
      <c r="A78" t="s">
        <v>346</v>
      </c>
      <c r="B78" t="s">
        <v>347</v>
      </c>
      <c r="C78" t="s">
        <v>26</v>
      </c>
      <c r="D78" t="str">
        <f t="shared" si="18"/>
        <v>Siddharth Agarwal(E1077)-Marketing</v>
      </c>
      <c r="E78" t="str">
        <f t="shared" si="19"/>
        <v>Marketing</v>
      </c>
      <c r="F78" t="s">
        <v>72</v>
      </c>
      <c r="G78" t="s">
        <v>348</v>
      </c>
      <c r="H78" t="str">
        <f t="shared" si="20"/>
        <v>Saturday</v>
      </c>
      <c r="I78" t="str">
        <f t="shared" si="21"/>
        <v>Sat</v>
      </c>
      <c r="J78" t="str">
        <f t="shared" si="22"/>
        <v>day</v>
      </c>
      <c r="K78" t="str">
        <f t="shared" si="23"/>
        <v>Jul</v>
      </c>
      <c r="L78">
        <f t="shared" si="24"/>
        <v>2021</v>
      </c>
      <c r="M78" t="s">
        <v>349</v>
      </c>
      <c r="N78">
        <f t="shared" si="25"/>
        <v>25</v>
      </c>
      <c r="O78">
        <f t="shared" si="26"/>
        <v>14</v>
      </c>
      <c r="P78">
        <f t="shared" si="27"/>
        <v>9</v>
      </c>
      <c r="Q78">
        <v>86281</v>
      </c>
      <c r="R78">
        <v>85336</v>
      </c>
      <c r="S78" t="str">
        <f t="shared" si="28"/>
        <v>high target</v>
      </c>
      <c r="T78" t="str">
        <f t="shared" si="29"/>
        <v>high target</v>
      </c>
      <c r="U78" t="s">
        <v>142</v>
      </c>
      <c r="V78">
        <f t="shared" si="30"/>
        <v>17</v>
      </c>
      <c r="W78" t="str">
        <f t="shared" si="31"/>
        <v>NEEDS IMPROVEMENT</v>
      </c>
      <c r="X78" t="str">
        <f t="shared" si="32"/>
        <v>needs improvement</v>
      </c>
      <c r="Y78" t="str">
        <f t="shared" si="33"/>
        <v>Needs Improvement</v>
      </c>
      <c r="AA78" t="e">
        <f t="shared" si="34"/>
        <v>#VALUE!</v>
      </c>
      <c r="AB78" t="e">
        <f t="shared" si="35"/>
        <v>#VALUE!</v>
      </c>
    </row>
    <row r="79" spans="1:28">
      <c r="A79" t="s">
        <v>350</v>
      </c>
      <c r="B79" t="s">
        <v>170</v>
      </c>
      <c r="C79" t="s">
        <v>41</v>
      </c>
      <c r="D79" t="str">
        <f t="shared" si="18"/>
        <v>Nidhi Mishra(E1078)-Finance</v>
      </c>
      <c r="E79" t="str">
        <f t="shared" si="19"/>
        <v>Finance</v>
      </c>
      <c r="F79" t="s">
        <v>79</v>
      </c>
      <c r="G79" t="s">
        <v>187</v>
      </c>
      <c r="H79" t="str">
        <f t="shared" si="20"/>
        <v>Thursday</v>
      </c>
      <c r="I79" t="str">
        <f t="shared" si="21"/>
        <v>Thu</v>
      </c>
      <c r="J79" t="str">
        <f t="shared" si="22"/>
        <v>day</v>
      </c>
      <c r="K79" t="str">
        <f t="shared" si="23"/>
        <v>Feb</v>
      </c>
      <c r="L79">
        <f t="shared" si="24"/>
        <v>2024</v>
      </c>
      <c r="M79" t="s">
        <v>351</v>
      </c>
      <c r="N79">
        <f t="shared" si="25"/>
        <v>27</v>
      </c>
      <c r="O79">
        <f t="shared" si="26"/>
        <v>22</v>
      </c>
      <c r="P79">
        <f t="shared" si="27"/>
        <v>10</v>
      </c>
      <c r="Q79">
        <v>95563</v>
      </c>
      <c r="R79">
        <v>88885</v>
      </c>
      <c r="S79" t="str">
        <f t="shared" si="28"/>
        <v>high target</v>
      </c>
      <c r="T79" t="str">
        <f t="shared" si="29"/>
        <v>high target</v>
      </c>
      <c r="U79" t="s">
        <v>121</v>
      </c>
      <c r="V79">
        <f t="shared" si="30"/>
        <v>14</v>
      </c>
      <c r="W79" t="str">
        <f t="shared" si="31"/>
        <v>CREATIVE IDEAS</v>
      </c>
      <c r="X79" t="str">
        <f t="shared" si="32"/>
        <v>creative ideas</v>
      </c>
      <c r="Y79" t="str">
        <f t="shared" si="33"/>
        <v>Creative Ideas</v>
      </c>
      <c r="AA79" t="e">
        <f t="shared" si="34"/>
        <v>#VALUE!</v>
      </c>
      <c r="AB79" t="e">
        <f t="shared" si="35"/>
        <v>#VALUE!</v>
      </c>
    </row>
    <row r="80" spans="1:28">
      <c r="A80" t="s">
        <v>352</v>
      </c>
      <c r="B80" t="s">
        <v>353</v>
      </c>
      <c r="C80" t="s">
        <v>41</v>
      </c>
      <c r="D80" t="str">
        <f t="shared" si="18"/>
        <v>Siddharth Malhotra(E1079)-Finance</v>
      </c>
      <c r="E80" t="str">
        <f t="shared" si="19"/>
        <v>Finance</v>
      </c>
      <c r="F80" t="s">
        <v>12</v>
      </c>
      <c r="G80" t="s">
        <v>191</v>
      </c>
      <c r="H80" t="str">
        <f t="shared" si="20"/>
        <v>Monday</v>
      </c>
      <c r="I80" t="str">
        <f t="shared" si="21"/>
        <v>Mon</v>
      </c>
      <c r="J80" t="str">
        <f t="shared" si="22"/>
        <v>day</v>
      </c>
      <c r="K80" t="str">
        <f t="shared" si="23"/>
        <v>May</v>
      </c>
      <c r="L80">
        <f t="shared" si="24"/>
        <v>2022</v>
      </c>
      <c r="M80" t="s">
        <v>354</v>
      </c>
      <c r="N80">
        <f t="shared" si="25"/>
        <v>46</v>
      </c>
      <c r="O80">
        <f t="shared" si="26"/>
        <v>7</v>
      </c>
      <c r="P80">
        <f t="shared" si="27"/>
        <v>8</v>
      </c>
      <c r="Q80">
        <v>58300</v>
      </c>
      <c r="R80">
        <v>52621</v>
      </c>
      <c r="S80" t="str">
        <f t="shared" si="28"/>
        <v>high target</v>
      </c>
      <c r="T80" t="str">
        <f t="shared" si="29"/>
        <v>mid target</v>
      </c>
      <c r="U80" t="s">
        <v>37</v>
      </c>
      <c r="V80">
        <f t="shared" si="30"/>
        <v>18</v>
      </c>
      <c r="W80" t="str">
        <f t="shared" si="31"/>
        <v>GOOD COMMUNICATION</v>
      </c>
      <c r="X80" t="str">
        <f t="shared" si="32"/>
        <v>good communication</v>
      </c>
      <c r="Y80" t="str">
        <f t="shared" si="33"/>
        <v>Good Communication</v>
      </c>
      <c r="AA80" t="e">
        <f t="shared" si="34"/>
        <v>#VALUE!</v>
      </c>
      <c r="AB80" t="e">
        <f t="shared" si="35"/>
        <v>#VALUE!</v>
      </c>
    </row>
    <row r="81" spans="1:28">
      <c r="A81" t="s">
        <v>355</v>
      </c>
      <c r="B81" t="s">
        <v>356</v>
      </c>
      <c r="C81" t="s">
        <v>53</v>
      </c>
      <c r="D81" t="str">
        <f t="shared" si="18"/>
        <v>Komal Goyal(E1080)-HR</v>
      </c>
      <c r="E81" t="str">
        <f t="shared" si="19"/>
        <v>HR</v>
      </c>
      <c r="F81" t="s">
        <v>27</v>
      </c>
      <c r="G81" t="s">
        <v>357</v>
      </c>
      <c r="H81" t="str">
        <f t="shared" si="20"/>
        <v>Sunday</v>
      </c>
      <c r="I81" t="str">
        <f t="shared" si="21"/>
        <v>Sun</v>
      </c>
      <c r="J81" t="str">
        <f t="shared" si="22"/>
        <v>day</v>
      </c>
      <c r="K81" t="str">
        <f t="shared" si="23"/>
        <v>Mar</v>
      </c>
      <c r="L81">
        <f t="shared" si="24"/>
        <v>2022</v>
      </c>
      <c r="M81" t="s">
        <v>358</v>
      </c>
      <c r="N81">
        <f t="shared" si="25"/>
        <v>17</v>
      </c>
      <c r="O81">
        <f t="shared" si="26"/>
        <v>30</v>
      </c>
      <c r="P81">
        <f t="shared" si="27"/>
        <v>10</v>
      </c>
      <c r="Q81">
        <v>106868</v>
      </c>
      <c r="R81">
        <v>87486</v>
      </c>
      <c r="S81" t="str">
        <f t="shared" si="28"/>
        <v>high target</v>
      </c>
      <c r="T81" t="str">
        <f t="shared" si="29"/>
        <v>high target</v>
      </c>
      <c r="U81" t="s">
        <v>15</v>
      </c>
      <c r="V81">
        <f t="shared" si="30"/>
        <v>20</v>
      </c>
      <c r="W81" t="str">
        <f t="shared" si="31"/>
        <v>EXCELLENT LEADERSHIP</v>
      </c>
      <c r="X81" t="str">
        <f t="shared" si="32"/>
        <v>excellent leadership</v>
      </c>
      <c r="Y81" t="str">
        <f t="shared" si="33"/>
        <v>Excellent Leadership</v>
      </c>
      <c r="AA81" t="e">
        <f t="shared" si="34"/>
        <v>#VALUE!</v>
      </c>
      <c r="AB81" t="e">
        <f t="shared" si="35"/>
        <v>#VALUE!</v>
      </c>
    </row>
    <row r="82" spans="1:28">
      <c r="A82" t="s">
        <v>359</v>
      </c>
      <c r="B82" t="s">
        <v>360</v>
      </c>
      <c r="C82" t="s">
        <v>53</v>
      </c>
      <c r="D82" t="str">
        <f t="shared" si="18"/>
        <v>Anjali Singh(E1081)-HR</v>
      </c>
      <c r="E82" t="str">
        <f t="shared" si="19"/>
        <v>HR</v>
      </c>
      <c r="F82" t="s">
        <v>12</v>
      </c>
      <c r="G82" t="s">
        <v>361</v>
      </c>
      <c r="H82" t="str">
        <f t="shared" si="20"/>
        <v>Monday</v>
      </c>
      <c r="I82" t="str">
        <f t="shared" si="21"/>
        <v>Mon</v>
      </c>
      <c r="J82" t="str">
        <f t="shared" si="22"/>
        <v>day</v>
      </c>
      <c r="K82" t="str">
        <f t="shared" si="23"/>
        <v>Apr</v>
      </c>
      <c r="L82">
        <f t="shared" si="24"/>
        <v>2022</v>
      </c>
      <c r="M82" t="s">
        <v>362</v>
      </c>
      <c r="N82">
        <f t="shared" si="25"/>
        <v>19</v>
      </c>
      <c r="O82">
        <f t="shared" si="26"/>
        <v>11</v>
      </c>
      <c r="P82">
        <f t="shared" si="27"/>
        <v>9</v>
      </c>
      <c r="Q82">
        <v>34222</v>
      </c>
      <c r="R82">
        <v>40927</v>
      </c>
      <c r="S82" t="str">
        <f t="shared" si="28"/>
        <v>low target</v>
      </c>
      <c r="T82" t="str">
        <f t="shared" si="29"/>
        <v>mid target</v>
      </c>
      <c r="U82" t="s">
        <v>142</v>
      </c>
      <c r="V82">
        <f t="shared" si="30"/>
        <v>17</v>
      </c>
      <c r="W82" t="str">
        <f t="shared" si="31"/>
        <v>NEEDS IMPROVEMENT</v>
      </c>
      <c r="X82" t="str">
        <f t="shared" si="32"/>
        <v>needs improvement</v>
      </c>
      <c r="Y82" t="str">
        <f t="shared" si="33"/>
        <v>Needs Improvement</v>
      </c>
      <c r="AA82" t="e">
        <f t="shared" si="34"/>
        <v>#VALUE!</v>
      </c>
      <c r="AB82" t="e">
        <f t="shared" si="35"/>
        <v>#VALUE!</v>
      </c>
    </row>
    <row r="83" spans="1:28">
      <c r="A83" t="s">
        <v>363</v>
      </c>
      <c r="B83" t="s">
        <v>364</v>
      </c>
      <c r="C83" t="s">
        <v>41</v>
      </c>
      <c r="D83" t="str">
        <f t="shared" si="18"/>
        <v>Priya Patel(E1082)-Finance</v>
      </c>
      <c r="E83" t="str">
        <f t="shared" si="19"/>
        <v>Finance</v>
      </c>
      <c r="F83" t="s">
        <v>65</v>
      </c>
      <c r="G83" t="s">
        <v>365</v>
      </c>
      <c r="H83" t="str">
        <f t="shared" si="20"/>
        <v>Tuesday</v>
      </c>
      <c r="I83" t="str">
        <f t="shared" si="21"/>
        <v>Tue</v>
      </c>
      <c r="J83" t="str">
        <f t="shared" si="22"/>
        <v>day</v>
      </c>
      <c r="K83" t="str">
        <f t="shared" si="23"/>
        <v>Jul</v>
      </c>
      <c r="L83">
        <f t="shared" si="24"/>
        <v>2024</v>
      </c>
      <c r="M83" t="s">
        <v>366</v>
      </c>
      <c r="N83">
        <f t="shared" si="25"/>
        <v>55</v>
      </c>
      <c r="O83">
        <f t="shared" si="26"/>
        <v>6</v>
      </c>
      <c r="P83">
        <f t="shared" si="27"/>
        <v>9</v>
      </c>
      <c r="Q83">
        <v>44437</v>
      </c>
      <c r="R83">
        <v>40803</v>
      </c>
      <c r="S83" t="str">
        <f t="shared" si="28"/>
        <v>low target</v>
      </c>
      <c r="T83" t="str">
        <f t="shared" si="29"/>
        <v>mid target</v>
      </c>
      <c r="U83" t="s">
        <v>56</v>
      </c>
      <c r="V83">
        <f t="shared" si="30"/>
        <v>16</v>
      </c>
      <c r="W83" t="str">
        <f t="shared" si="31"/>
        <v>HELPFUL ATTITUDE</v>
      </c>
      <c r="X83" t="str">
        <f t="shared" si="32"/>
        <v>helpful attitude</v>
      </c>
      <c r="Y83" t="str">
        <f t="shared" si="33"/>
        <v>Helpful Attitude</v>
      </c>
      <c r="AA83" t="e">
        <f t="shared" si="34"/>
        <v>#VALUE!</v>
      </c>
      <c r="AB83" t="e">
        <f t="shared" si="35"/>
        <v>#VALUE!</v>
      </c>
    </row>
    <row r="84" spans="1:28">
      <c r="A84" t="s">
        <v>367</v>
      </c>
      <c r="B84" t="s">
        <v>368</v>
      </c>
      <c r="C84" t="s">
        <v>41</v>
      </c>
      <c r="D84" t="str">
        <f t="shared" si="18"/>
        <v>Kavita Malhotra(E1083)-Finance</v>
      </c>
      <c r="E84" t="str">
        <f t="shared" si="19"/>
        <v>Finance</v>
      </c>
      <c r="F84" t="s">
        <v>65</v>
      </c>
      <c r="G84" t="s">
        <v>369</v>
      </c>
      <c r="H84" t="str">
        <f t="shared" si="20"/>
        <v>Friday</v>
      </c>
      <c r="I84" t="str">
        <f t="shared" si="21"/>
        <v>Fri</v>
      </c>
      <c r="J84" t="str">
        <f t="shared" si="22"/>
        <v>day</v>
      </c>
      <c r="K84" t="str">
        <f t="shared" si="23"/>
        <v>Apr</v>
      </c>
      <c r="L84">
        <f t="shared" si="24"/>
        <v>2021</v>
      </c>
      <c r="M84" t="s">
        <v>370</v>
      </c>
      <c r="N84">
        <f t="shared" si="25"/>
        <v>30</v>
      </c>
      <c r="O84">
        <f t="shared" si="26"/>
        <v>55</v>
      </c>
      <c r="P84">
        <f t="shared" si="27"/>
        <v>9</v>
      </c>
      <c r="Q84">
        <v>36758</v>
      </c>
      <c r="R84">
        <v>47476</v>
      </c>
      <c r="S84" t="str">
        <f t="shared" si="28"/>
        <v>low target</v>
      </c>
      <c r="T84" t="str">
        <f t="shared" si="29"/>
        <v>mid target</v>
      </c>
      <c r="U84" t="s">
        <v>168</v>
      </c>
      <c r="V84">
        <f t="shared" si="30"/>
        <v>17</v>
      </c>
      <c r="W84" t="str">
        <f t="shared" si="31"/>
        <v>DETAILED ANALYSIS</v>
      </c>
      <c r="X84" t="str">
        <f t="shared" si="32"/>
        <v>detailed analysis</v>
      </c>
      <c r="Y84" t="str">
        <f t="shared" si="33"/>
        <v>Detailed Analysis</v>
      </c>
      <c r="AA84" t="e">
        <f t="shared" si="34"/>
        <v>#VALUE!</v>
      </c>
      <c r="AB84" t="e">
        <f t="shared" si="35"/>
        <v>#VALUE!</v>
      </c>
    </row>
    <row r="85" spans="1:28">
      <c r="A85" t="s">
        <v>371</v>
      </c>
      <c r="B85" t="s">
        <v>372</v>
      </c>
      <c r="C85" t="s">
        <v>11</v>
      </c>
      <c r="D85" t="str">
        <f t="shared" si="18"/>
        <v>Kavita Verma(E1084)-Sales</v>
      </c>
      <c r="E85" t="str">
        <f t="shared" si="19"/>
        <v>Sales</v>
      </c>
      <c r="F85" t="s">
        <v>65</v>
      </c>
      <c r="G85" t="s">
        <v>373</v>
      </c>
      <c r="H85" t="str">
        <f t="shared" si="20"/>
        <v>Tuesday</v>
      </c>
      <c r="I85" t="str">
        <f t="shared" si="21"/>
        <v>Tue</v>
      </c>
      <c r="J85" t="str">
        <f t="shared" si="22"/>
        <v>day</v>
      </c>
      <c r="K85" t="str">
        <f t="shared" si="23"/>
        <v>Nov</v>
      </c>
      <c r="L85">
        <f t="shared" si="24"/>
        <v>2021</v>
      </c>
      <c r="M85" t="s">
        <v>374</v>
      </c>
      <c r="N85">
        <f t="shared" si="25"/>
        <v>5</v>
      </c>
      <c r="O85">
        <f t="shared" si="26"/>
        <v>19</v>
      </c>
      <c r="P85">
        <f t="shared" si="27"/>
        <v>10</v>
      </c>
      <c r="Q85">
        <v>49027</v>
      </c>
      <c r="R85">
        <v>56265</v>
      </c>
      <c r="S85" t="str">
        <f t="shared" si="28"/>
        <v>high target</v>
      </c>
      <c r="T85" t="str">
        <f t="shared" si="29"/>
        <v>mid target</v>
      </c>
      <c r="U85" t="s">
        <v>44</v>
      </c>
      <c r="V85">
        <f t="shared" si="30"/>
        <v>19</v>
      </c>
      <c r="W85" t="str">
        <f t="shared" si="31"/>
        <v>STRONG PRESENTATION</v>
      </c>
      <c r="X85" t="str">
        <f t="shared" si="32"/>
        <v>strong presentation</v>
      </c>
      <c r="Y85" t="str">
        <f t="shared" si="33"/>
        <v>Strong Presentation</v>
      </c>
      <c r="AA85" t="e">
        <f t="shared" si="34"/>
        <v>#VALUE!</v>
      </c>
      <c r="AB85" t="e">
        <f t="shared" si="35"/>
        <v>#VALUE!</v>
      </c>
    </row>
    <row r="86" spans="1:28">
      <c r="A86" t="s">
        <v>375</v>
      </c>
      <c r="B86" t="s">
        <v>376</v>
      </c>
      <c r="C86" t="s">
        <v>53</v>
      </c>
      <c r="D86" t="str">
        <f t="shared" si="18"/>
        <v>Harsh Chopra(E1085)-HR</v>
      </c>
      <c r="E86" t="str">
        <f t="shared" si="19"/>
        <v>HR</v>
      </c>
      <c r="F86" t="s">
        <v>89</v>
      </c>
      <c r="G86" t="s">
        <v>377</v>
      </c>
      <c r="H86" t="str">
        <f t="shared" si="20"/>
        <v>Wednesday</v>
      </c>
      <c r="I86" t="str">
        <f t="shared" si="21"/>
        <v>Wed</v>
      </c>
      <c r="J86" t="str">
        <f t="shared" si="22"/>
        <v>day</v>
      </c>
      <c r="K86" t="str">
        <f t="shared" si="23"/>
        <v>Jul</v>
      </c>
      <c r="L86">
        <f t="shared" si="24"/>
        <v>2023</v>
      </c>
      <c r="M86" t="s">
        <v>378</v>
      </c>
      <c r="N86">
        <f t="shared" si="25"/>
        <v>55</v>
      </c>
      <c r="O86">
        <f t="shared" si="26"/>
        <v>19</v>
      </c>
      <c r="P86">
        <f t="shared" si="27"/>
        <v>9</v>
      </c>
      <c r="Q86">
        <v>91672</v>
      </c>
      <c r="R86">
        <v>78569</v>
      </c>
      <c r="S86" t="str">
        <f t="shared" si="28"/>
        <v>high target</v>
      </c>
      <c r="T86" t="str">
        <f t="shared" si="29"/>
        <v>high target</v>
      </c>
      <c r="U86" t="s">
        <v>142</v>
      </c>
      <c r="V86">
        <f t="shared" si="30"/>
        <v>17</v>
      </c>
      <c r="W86" t="str">
        <f t="shared" si="31"/>
        <v>NEEDS IMPROVEMENT</v>
      </c>
      <c r="X86" t="str">
        <f t="shared" si="32"/>
        <v>needs improvement</v>
      </c>
      <c r="Y86" t="str">
        <f t="shared" si="33"/>
        <v>Needs Improvement</v>
      </c>
      <c r="AA86" t="e">
        <f t="shared" si="34"/>
        <v>#VALUE!</v>
      </c>
      <c r="AB86" t="e">
        <f t="shared" si="35"/>
        <v>#VALUE!</v>
      </c>
    </row>
    <row r="87" spans="1:28">
      <c r="A87" t="s">
        <v>379</v>
      </c>
      <c r="B87" t="s">
        <v>380</v>
      </c>
      <c r="C87" t="s">
        <v>11</v>
      </c>
      <c r="D87" t="str">
        <f t="shared" si="18"/>
        <v>Manish Jain(E1086)-Sales</v>
      </c>
      <c r="E87" t="str">
        <f t="shared" si="19"/>
        <v>Sales</v>
      </c>
      <c r="F87" t="s">
        <v>19</v>
      </c>
      <c r="G87" t="s">
        <v>381</v>
      </c>
      <c r="H87" t="str">
        <f t="shared" si="20"/>
        <v>Wednesday</v>
      </c>
      <c r="I87" t="str">
        <f t="shared" si="21"/>
        <v>Wed</v>
      </c>
      <c r="J87" t="str">
        <f t="shared" si="22"/>
        <v>day</v>
      </c>
      <c r="K87" t="str">
        <f t="shared" si="23"/>
        <v>Mar</v>
      </c>
      <c r="L87">
        <f t="shared" si="24"/>
        <v>2022</v>
      </c>
      <c r="M87" t="s">
        <v>382</v>
      </c>
      <c r="N87">
        <f t="shared" si="25"/>
        <v>16</v>
      </c>
      <c r="O87">
        <f t="shared" si="26"/>
        <v>13</v>
      </c>
      <c r="P87">
        <f t="shared" si="27"/>
        <v>10</v>
      </c>
      <c r="Q87">
        <v>73601</v>
      </c>
      <c r="R87">
        <v>83281</v>
      </c>
      <c r="S87" t="str">
        <f t="shared" si="28"/>
        <v>high target</v>
      </c>
      <c r="T87" t="str">
        <f t="shared" si="29"/>
        <v>high target</v>
      </c>
      <c r="U87" t="s">
        <v>112</v>
      </c>
      <c r="V87">
        <f t="shared" si="30"/>
        <v>14</v>
      </c>
      <c r="W87" t="str">
        <f t="shared" si="31"/>
        <v>QUICK RESPONSE</v>
      </c>
      <c r="X87" t="str">
        <f t="shared" si="32"/>
        <v>quick response</v>
      </c>
      <c r="Y87" t="str">
        <f t="shared" si="33"/>
        <v>Quick Response</v>
      </c>
      <c r="AA87" t="e">
        <f t="shared" si="34"/>
        <v>#VALUE!</v>
      </c>
      <c r="AB87" t="e">
        <f t="shared" si="35"/>
        <v>#VALUE!</v>
      </c>
    </row>
    <row r="88" spans="1:28">
      <c r="A88" t="s">
        <v>383</v>
      </c>
      <c r="B88" t="s">
        <v>384</v>
      </c>
      <c r="C88" t="s">
        <v>11</v>
      </c>
      <c r="D88" t="str">
        <f t="shared" si="18"/>
        <v>Pooja Joshi(E1087)-Sales</v>
      </c>
      <c r="E88" t="str">
        <f t="shared" si="19"/>
        <v>Sales</v>
      </c>
      <c r="F88" t="s">
        <v>65</v>
      </c>
      <c r="G88" t="s">
        <v>385</v>
      </c>
      <c r="H88" t="str">
        <f t="shared" si="20"/>
        <v>Wednesday</v>
      </c>
      <c r="I88" t="str">
        <f t="shared" si="21"/>
        <v>Wed</v>
      </c>
      <c r="J88" t="str">
        <f t="shared" si="22"/>
        <v>day</v>
      </c>
      <c r="K88" t="str">
        <f t="shared" si="23"/>
        <v>Jan</v>
      </c>
      <c r="L88">
        <f t="shared" si="24"/>
        <v>2021</v>
      </c>
      <c r="M88" t="s">
        <v>386</v>
      </c>
      <c r="N88">
        <f t="shared" si="25"/>
        <v>44</v>
      </c>
      <c r="O88">
        <f t="shared" si="26"/>
        <v>28</v>
      </c>
      <c r="P88">
        <f t="shared" si="27"/>
        <v>9</v>
      </c>
      <c r="Q88">
        <v>94712</v>
      </c>
      <c r="R88">
        <v>78916</v>
      </c>
      <c r="S88" t="str">
        <f t="shared" si="28"/>
        <v>high target</v>
      </c>
      <c r="T88" t="str">
        <f t="shared" si="29"/>
        <v>high target</v>
      </c>
      <c r="U88" t="s">
        <v>142</v>
      </c>
      <c r="V88">
        <f t="shared" si="30"/>
        <v>17</v>
      </c>
      <c r="W88" t="str">
        <f t="shared" si="31"/>
        <v>NEEDS IMPROVEMENT</v>
      </c>
      <c r="X88" t="str">
        <f t="shared" si="32"/>
        <v>needs improvement</v>
      </c>
      <c r="Y88" t="str">
        <f t="shared" si="33"/>
        <v>Needs Improvement</v>
      </c>
      <c r="AA88" t="e">
        <f t="shared" si="34"/>
        <v>#VALUE!</v>
      </c>
      <c r="AB88" t="e">
        <f t="shared" si="35"/>
        <v>#VALUE!</v>
      </c>
    </row>
    <row r="89" spans="1:28">
      <c r="A89" t="s">
        <v>387</v>
      </c>
      <c r="B89" t="s">
        <v>109</v>
      </c>
      <c r="C89" t="s">
        <v>41</v>
      </c>
      <c r="D89" t="str">
        <f t="shared" si="18"/>
        <v>Priya Nair(E1088)-Finance</v>
      </c>
      <c r="E89" t="str">
        <f t="shared" si="19"/>
        <v>Finance</v>
      </c>
      <c r="F89" t="s">
        <v>12</v>
      </c>
      <c r="G89" t="s">
        <v>388</v>
      </c>
      <c r="H89" t="str">
        <f t="shared" si="20"/>
        <v>Tuesday</v>
      </c>
      <c r="I89" t="str">
        <f t="shared" si="21"/>
        <v>Tue</v>
      </c>
      <c r="J89" t="str">
        <f t="shared" si="22"/>
        <v>day</v>
      </c>
      <c r="K89" t="str">
        <f t="shared" si="23"/>
        <v>Dec</v>
      </c>
      <c r="L89">
        <f t="shared" si="24"/>
        <v>2024</v>
      </c>
      <c r="M89" t="s">
        <v>389</v>
      </c>
      <c r="N89">
        <f t="shared" si="25"/>
        <v>43</v>
      </c>
      <c r="O89">
        <f t="shared" si="26"/>
        <v>4</v>
      </c>
      <c r="P89">
        <f t="shared" si="27"/>
        <v>9</v>
      </c>
      <c r="Q89">
        <v>57634</v>
      </c>
      <c r="R89">
        <v>55297</v>
      </c>
      <c r="S89" t="str">
        <f t="shared" si="28"/>
        <v>high target</v>
      </c>
      <c r="T89" t="str">
        <f t="shared" si="29"/>
        <v>mid target</v>
      </c>
      <c r="U89" t="s">
        <v>30</v>
      </c>
      <c r="V89">
        <f t="shared" si="30"/>
        <v>16</v>
      </c>
      <c r="W89" t="str">
        <f t="shared" si="31"/>
        <v>CUSTOMER FOCUSED</v>
      </c>
      <c r="X89" t="str">
        <f t="shared" si="32"/>
        <v>customer focused</v>
      </c>
      <c r="Y89" t="str">
        <f t="shared" si="33"/>
        <v>Customer Focused</v>
      </c>
      <c r="AA89" t="e">
        <f t="shared" si="34"/>
        <v>#VALUE!</v>
      </c>
      <c r="AB89" t="e">
        <f t="shared" si="35"/>
        <v>#VALUE!</v>
      </c>
    </row>
    <row r="90" spans="1:28">
      <c r="A90" t="s">
        <v>390</v>
      </c>
      <c r="B90" t="s">
        <v>391</v>
      </c>
      <c r="C90" t="s">
        <v>53</v>
      </c>
      <c r="D90" t="str">
        <f t="shared" si="18"/>
        <v>Tanya Mishra(E1089)-HR</v>
      </c>
      <c r="E90" t="str">
        <f t="shared" si="19"/>
        <v>HR</v>
      </c>
      <c r="F90" t="s">
        <v>89</v>
      </c>
      <c r="G90" t="s">
        <v>392</v>
      </c>
      <c r="H90" t="str">
        <f t="shared" si="20"/>
        <v>Tuesday</v>
      </c>
      <c r="I90" t="str">
        <f t="shared" si="21"/>
        <v>Tue</v>
      </c>
      <c r="J90" t="str">
        <f t="shared" si="22"/>
        <v>day</v>
      </c>
      <c r="K90" t="str">
        <f t="shared" si="23"/>
        <v>Aug</v>
      </c>
      <c r="L90">
        <f t="shared" si="24"/>
        <v>2021</v>
      </c>
      <c r="M90" t="s">
        <v>393</v>
      </c>
      <c r="N90">
        <f t="shared" si="25"/>
        <v>41</v>
      </c>
      <c r="O90">
        <f t="shared" si="26"/>
        <v>14</v>
      </c>
      <c r="P90">
        <f t="shared" si="27"/>
        <v>10</v>
      </c>
      <c r="Q90">
        <v>52172</v>
      </c>
      <c r="R90">
        <v>49764</v>
      </c>
      <c r="S90" t="str">
        <f t="shared" si="28"/>
        <v>low target</v>
      </c>
      <c r="T90" t="str">
        <f t="shared" si="29"/>
        <v>mid target</v>
      </c>
      <c r="U90" t="s">
        <v>213</v>
      </c>
      <c r="V90">
        <f t="shared" si="30"/>
        <v>17</v>
      </c>
      <c r="W90" t="str">
        <f t="shared" si="31"/>
        <v>POSITIVE ATTITUDE</v>
      </c>
      <c r="X90" t="str">
        <f t="shared" si="32"/>
        <v>positive attitude</v>
      </c>
      <c r="Y90" t="str">
        <f t="shared" si="33"/>
        <v>Positive Attitude</v>
      </c>
      <c r="AA90" t="e">
        <f t="shared" si="34"/>
        <v>#VALUE!</v>
      </c>
      <c r="AB90" t="e">
        <f t="shared" si="35"/>
        <v>#VALUE!</v>
      </c>
    </row>
    <row r="91" spans="1:28">
      <c r="A91" t="s">
        <v>394</v>
      </c>
      <c r="B91" t="s">
        <v>395</v>
      </c>
      <c r="C91" t="s">
        <v>11</v>
      </c>
      <c r="D91" t="str">
        <f t="shared" si="18"/>
        <v>Arjun Verma(E1090)-Sales</v>
      </c>
      <c r="E91" t="str">
        <f t="shared" si="19"/>
        <v>Sales</v>
      </c>
      <c r="F91" t="s">
        <v>65</v>
      </c>
      <c r="G91" t="s">
        <v>396</v>
      </c>
      <c r="H91" t="str">
        <f t="shared" si="20"/>
        <v>Thursday</v>
      </c>
      <c r="I91" t="str">
        <f t="shared" si="21"/>
        <v>Thu</v>
      </c>
      <c r="J91" t="str">
        <f t="shared" si="22"/>
        <v>day</v>
      </c>
      <c r="K91" t="str">
        <f t="shared" si="23"/>
        <v>Sep</v>
      </c>
      <c r="L91">
        <f t="shared" si="24"/>
        <v>2022</v>
      </c>
      <c r="M91" t="s">
        <v>397</v>
      </c>
      <c r="N91">
        <f t="shared" si="25"/>
        <v>52</v>
      </c>
      <c r="O91">
        <f t="shared" si="26"/>
        <v>47</v>
      </c>
      <c r="P91">
        <f t="shared" si="27"/>
        <v>10</v>
      </c>
      <c r="Q91">
        <v>81217</v>
      </c>
      <c r="R91">
        <v>77303</v>
      </c>
      <c r="S91" t="str">
        <f t="shared" si="28"/>
        <v>high target</v>
      </c>
      <c r="T91" t="str">
        <f t="shared" si="29"/>
        <v>high target</v>
      </c>
      <c r="U91" t="s">
        <v>56</v>
      </c>
      <c r="V91">
        <f t="shared" si="30"/>
        <v>16</v>
      </c>
      <c r="W91" t="str">
        <f t="shared" si="31"/>
        <v>HELPFUL ATTITUDE</v>
      </c>
      <c r="X91" t="str">
        <f t="shared" si="32"/>
        <v>helpful attitude</v>
      </c>
      <c r="Y91" t="str">
        <f t="shared" si="33"/>
        <v>Helpful Attitude</v>
      </c>
      <c r="AA91" t="e">
        <f t="shared" si="34"/>
        <v>#VALUE!</v>
      </c>
      <c r="AB91" t="e">
        <f t="shared" si="35"/>
        <v>#VALUE!</v>
      </c>
    </row>
    <row r="92" spans="1:28">
      <c r="A92" t="s">
        <v>398</v>
      </c>
      <c r="B92" t="s">
        <v>399</v>
      </c>
      <c r="C92" t="s">
        <v>41</v>
      </c>
      <c r="D92" t="str">
        <f t="shared" si="18"/>
        <v>Neha Malhotra(E1091)-Finance</v>
      </c>
      <c r="E92" t="str">
        <f t="shared" si="19"/>
        <v>Finance</v>
      </c>
      <c r="F92" t="s">
        <v>89</v>
      </c>
      <c r="G92" t="s">
        <v>400</v>
      </c>
      <c r="H92" t="str">
        <f t="shared" si="20"/>
        <v>Tuesday</v>
      </c>
      <c r="I92" t="str">
        <f t="shared" si="21"/>
        <v>Tue</v>
      </c>
      <c r="J92" t="str">
        <f t="shared" si="22"/>
        <v>day</v>
      </c>
      <c r="K92" t="str">
        <f t="shared" si="23"/>
        <v>Jul</v>
      </c>
      <c r="L92">
        <f t="shared" si="24"/>
        <v>2022</v>
      </c>
      <c r="M92" t="s">
        <v>401</v>
      </c>
      <c r="N92">
        <f t="shared" si="25"/>
        <v>31</v>
      </c>
      <c r="O92">
        <f t="shared" si="26"/>
        <v>34</v>
      </c>
      <c r="P92">
        <f t="shared" si="27"/>
        <v>10</v>
      </c>
      <c r="Q92">
        <v>58959</v>
      </c>
      <c r="R92">
        <v>68688</v>
      </c>
      <c r="S92" t="str">
        <f t="shared" si="28"/>
        <v>high target</v>
      </c>
      <c r="T92" t="str">
        <f t="shared" si="29"/>
        <v>mid target</v>
      </c>
      <c r="U92" t="s">
        <v>15</v>
      </c>
      <c r="V92">
        <f t="shared" si="30"/>
        <v>20</v>
      </c>
      <c r="W92" t="str">
        <f t="shared" si="31"/>
        <v>EXCELLENT LEADERSHIP</v>
      </c>
      <c r="X92" t="str">
        <f t="shared" si="32"/>
        <v>excellent leadership</v>
      </c>
      <c r="Y92" t="str">
        <f t="shared" si="33"/>
        <v>Excellent Leadership</v>
      </c>
      <c r="AA92" t="e">
        <f t="shared" si="34"/>
        <v>#VALUE!</v>
      </c>
      <c r="AB92" t="e">
        <f t="shared" si="35"/>
        <v>#VALUE!</v>
      </c>
    </row>
    <row r="93" spans="1:28">
      <c r="A93" t="s">
        <v>402</v>
      </c>
      <c r="B93" t="s">
        <v>231</v>
      </c>
      <c r="C93" t="s">
        <v>41</v>
      </c>
      <c r="D93" t="str">
        <f t="shared" si="18"/>
        <v>Priya Chopra(E1092)-Finance</v>
      </c>
      <c r="E93" t="str">
        <f t="shared" si="19"/>
        <v>Finance</v>
      </c>
      <c r="F93" t="s">
        <v>12</v>
      </c>
      <c r="G93" t="s">
        <v>403</v>
      </c>
      <c r="H93" t="str">
        <f t="shared" si="20"/>
        <v>Monday</v>
      </c>
      <c r="I93" t="str">
        <f t="shared" si="21"/>
        <v>Mon</v>
      </c>
      <c r="J93" t="str">
        <f t="shared" si="22"/>
        <v>day</v>
      </c>
      <c r="K93" t="str">
        <f t="shared" si="23"/>
        <v>Feb</v>
      </c>
      <c r="L93">
        <f t="shared" si="24"/>
        <v>2021</v>
      </c>
      <c r="M93" t="s">
        <v>404</v>
      </c>
      <c r="N93">
        <f t="shared" si="25"/>
        <v>43</v>
      </c>
      <c r="O93">
        <f t="shared" si="26"/>
        <v>14</v>
      </c>
      <c r="P93">
        <f t="shared" si="27"/>
        <v>8</v>
      </c>
      <c r="Q93">
        <v>81144</v>
      </c>
      <c r="R93">
        <v>94785</v>
      </c>
      <c r="S93" t="str">
        <f t="shared" si="28"/>
        <v>high target</v>
      </c>
      <c r="T93" t="str">
        <f t="shared" si="29"/>
        <v>high target</v>
      </c>
      <c r="U93" t="s">
        <v>30</v>
      </c>
      <c r="V93">
        <f t="shared" si="30"/>
        <v>16</v>
      </c>
      <c r="W93" t="str">
        <f t="shared" si="31"/>
        <v>CUSTOMER FOCUSED</v>
      </c>
      <c r="X93" t="str">
        <f t="shared" si="32"/>
        <v>customer focused</v>
      </c>
      <c r="Y93" t="str">
        <f t="shared" si="33"/>
        <v>Customer Focused</v>
      </c>
      <c r="AA93" t="e">
        <f t="shared" si="34"/>
        <v>#VALUE!</v>
      </c>
      <c r="AB93" t="e">
        <f t="shared" si="35"/>
        <v>#VALUE!</v>
      </c>
    </row>
    <row r="94" spans="1:28">
      <c r="A94" t="s">
        <v>405</v>
      </c>
      <c r="B94" t="s">
        <v>406</v>
      </c>
      <c r="C94" t="s">
        <v>11</v>
      </c>
      <c r="D94" t="str">
        <f t="shared" si="18"/>
        <v>Nidhi Shah(E1093)-Sales</v>
      </c>
      <c r="E94" t="str">
        <f t="shared" si="19"/>
        <v>Sales</v>
      </c>
      <c r="F94" t="s">
        <v>65</v>
      </c>
      <c r="G94" t="s">
        <v>407</v>
      </c>
      <c r="H94" t="str">
        <f t="shared" si="20"/>
        <v>Tuesday</v>
      </c>
      <c r="I94" t="str">
        <f t="shared" si="21"/>
        <v>Tue</v>
      </c>
      <c r="J94" t="str">
        <f t="shared" si="22"/>
        <v>day</v>
      </c>
      <c r="K94" t="str">
        <f t="shared" si="23"/>
        <v>Aug</v>
      </c>
      <c r="L94">
        <f t="shared" si="24"/>
        <v>2023</v>
      </c>
      <c r="M94" t="s">
        <v>408</v>
      </c>
      <c r="N94">
        <f t="shared" si="25"/>
        <v>28</v>
      </c>
      <c r="O94">
        <f t="shared" si="26"/>
        <v>41</v>
      </c>
      <c r="P94">
        <f t="shared" si="27"/>
        <v>10</v>
      </c>
      <c r="Q94">
        <v>55123</v>
      </c>
      <c r="R94">
        <v>58229</v>
      </c>
      <c r="S94" t="str">
        <f t="shared" si="28"/>
        <v>high target</v>
      </c>
      <c r="T94" t="str">
        <f t="shared" si="29"/>
        <v>mid target</v>
      </c>
      <c r="U94" t="s">
        <v>15</v>
      </c>
      <c r="V94">
        <f t="shared" si="30"/>
        <v>20</v>
      </c>
      <c r="W94" t="str">
        <f t="shared" si="31"/>
        <v>EXCELLENT LEADERSHIP</v>
      </c>
      <c r="X94" t="str">
        <f t="shared" si="32"/>
        <v>excellent leadership</v>
      </c>
      <c r="Y94" t="str">
        <f t="shared" si="33"/>
        <v>Excellent Leadership</v>
      </c>
      <c r="AA94" t="e">
        <f t="shared" si="34"/>
        <v>#VALUE!</v>
      </c>
      <c r="AB94" t="e">
        <f t="shared" si="35"/>
        <v>#VALUE!</v>
      </c>
    </row>
    <row r="95" spans="1:28">
      <c r="A95" t="s">
        <v>409</v>
      </c>
      <c r="B95" t="s">
        <v>410</v>
      </c>
      <c r="C95" t="s">
        <v>11</v>
      </c>
      <c r="D95" t="str">
        <f t="shared" si="18"/>
        <v>Nisha Agarwal(E1094)-Sales</v>
      </c>
      <c r="E95" t="str">
        <f t="shared" si="19"/>
        <v>Sales</v>
      </c>
      <c r="F95" t="s">
        <v>79</v>
      </c>
      <c r="G95" t="s">
        <v>411</v>
      </c>
      <c r="H95" t="str">
        <f t="shared" si="20"/>
        <v>Wednesday</v>
      </c>
      <c r="I95" t="str">
        <f t="shared" si="21"/>
        <v>Wed</v>
      </c>
      <c r="J95" t="str">
        <f t="shared" si="22"/>
        <v>day</v>
      </c>
      <c r="K95" t="str">
        <f t="shared" si="23"/>
        <v>Dec</v>
      </c>
      <c r="L95">
        <f t="shared" si="24"/>
        <v>2022</v>
      </c>
      <c r="M95" t="s">
        <v>412</v>
      </c>
      <c r="N95">
        <f t="shared" si="25"/>
        <v>20</v>
      </c>
      <c r="O95">
        <f t="shared" si="26"/>
        <v>21</v>
      </c>
      <c r="P95">
        <f t="shared" si="27"/>
        <v>9</v>
      </c>
      <c r="Q95">
        <v>75772</v>
      </c>
      <c r="R95">
        <v>83917</v>
      </c>
      <c r="S95" t="str">
        <f t="shared" si="28"/>
        <v>high target</v>
      </c>
      <c r="T95" t="str">
        <f t="shared" si="29"/>
        <v>high target</v>
      </c>
      <c r="U95" t="s">
        <v>213</v>
      </c>
      <c r="V95">
        <f t="shared" si="30"/>
        <v>17</v>
      </c>
      <c r="W95" t="str">
        <f t="shared" si="31"/>
        <v>POSITIVE ATTITUDE</v>
      </c>
      <c r="X95" t="str">
        <f t="shared" si="32"/>
        <v>positive attitude</v>
      </c>
      <c r="Y95" t="str">
        <f t="shared" si="33"/>
        <v>Positive Attitude</v>
      </c>
      <c r="AA95" t="e">
        <f t="shared" si="34"/>
        <v>#VALUE!</v>
      </c>
      <c r="AB95" t="e">
        <f t="shared" si="35"/>
        <v>#VALUE!</v>
      </c>
    </row>
    <row r="96" spans="1:28">
      <c r="A96" t="s">
        <v>413</v>
      </c>
      <c r="B96" t="s">
        <v>210</v>
      </c>
      <c r="C96" t="s">
        <v>26</v>
      </c>
      <c r="D96" t="str">
        <f t="shared" si="18"/>
        <v>Sneha Iyer(E1095)-Marketing</v>
      </c>
      <c r="E96" t="str">
        <f t="shared" si="19"/>
        <v>Marketing</v>
      </c>
      <c r="F96" t="s">
        <v>79</v>
      </c>
      <c r="G96" t="s">
        <v>414</v>
      </c>
      <c r="H96" t="str">
        <f t="shared" si="20"/>
        <v>Sunday</v>
      </c>
      <c r="I96" t="str">
        <f t="shared" si="21"/>
        <v>Sun</v>
      </c>
      <c r="J96" t="str">
        <f t="shared" si="22"/>
        <v>day</v>
      </c>
      <c r="K96" t="str">
        <f t="shared" si="23"/>
        <v>Aug</v>
      </c>
      <c r="L96">
        <f t="shared" si="24"/>
        <v>2022</v>
      </c>
      <c r="M96" t="s">
        <v>415</v>
      </c>
      <c r="N96">
        <f t="shared" si="25"/>
        <v>52</v>
      </c>
      <c r="O96">
        <f t="shared" si="26"/>
        <v>25</v>
      </c>
      <c r="P96">
        <f t="shared" si="27"/>
        <v>10</v>
      </c>
      <c r="Q96">
        <v>77244</v>
      </c>
      <c r="R96">
        <v>89840</v>
      </c>
      <c r="S96" t="str">
        <f t="shared" si="28"/>
        <v>high target</v>
      </c>
      <c r="T96" t="str">
        <f t="shared" si="29"/>
        <v>high target</v>
      </c>
      <c r="U96" t="s">
        <v>56</v>
      </c>
      <c r="V96">
        <f t="shared" si="30"/>
        <v>16</v>
      </c>
      <c r="W96" t="str">
        <f t="shared" si="31"/>
        <v>HELPFUL ATTITUDE</v>
      </c>
      <c r="X96" t="str">
        <f t="shared" si="32"/>
        <v>helpful attitude</v>
      </c>
      <c r="Y96" t="str">
        <f t="shared" si="33"/>
        <v>Helpful Attitude</v>
      </c>
      <c r="AA96" t="e">
        <f t="shared" si="34"/>
        <v>#VALUE!</v>
      </c>
      <c r="AB96" t="e">
        <f t="shared" si="35"/>
        <v>#VALUE!</v>
      </c>
    </row>
    <row r="97" spans="1:28">
      <c r="A97" t="s">
        <v>416</v>
      </c>
      <c r="B97" t="s">
        <v>417</v>
      </c>
      <c r="C97" t="s">
        <v>41</v>
      </c>
      <c r="D97" t="str">
        <f t="shared" si="18"/>
        <v>Rahul Iyer(E1096)-Finance</v>
      </c>
      <c r="E97" t="str">
        <f t="shared" si="19"/>
        <v>Finance</v>
      </c>
      <c r="F97" t="s">
        <v>34</v>
      </c>
      <c r="G97" t="s">
        <v>418</v>
      </c>
      <c r="H97" t="str">
        <f t="shared" si="20"/>
        <v>Thursday</v>
      </c>
      <c r="I97" t="str">
        <f t="shared" si="21"/>
        <v>Thu</v>
      </c>
      <c r="J97" t="str">
        <f t="shared" si="22"/>
        <v>day</v>
      </c>
      <c r="K97" t="str">
        <f t="shared" si="23"/>
        <v>Aug</v>
      </c>
      <c r="L97">
        <f t="shared" si="24"/>
        <v>2021</v>
      </c>
      <c r="M97" t="s">
        <v>419</v>
      </c>
      <c r="N97">
        <f t="shared" si="25"/>
        <v>32</v>
      </c>
      <c r="O97">
        <f t="shared" si="26"/>
        <v>55</v>
      </c>
      <c r="P97">
        <f t="shared" si="27"/>
        <v>9</v>
      </c>
      <c r="Q97">
        <v>79137</v>
      </c>
      <c r="R97">
        <v>94062</v>
      </c>
      <c r="S97" t="str">
        <f t="shared" si="28"/>
        <v>high target</v>
      </c>
      <c r="T97" t="str">
        <f t="shared" si="29"/>
        <v>high target</v>
      </c>
      <c r="U97" t="s">
        <v>68</v>
      </c>
      <c r="V97">
        <f t="shared" si="30"/>
        <v>13</v>
      </c>
      <c r="W97" t="str">
        <f t="shared" si="31"/>
        <v>GOOD TEAMWORK</v>
      </c>
      <c r="X97" t="str">
        <f t="shared" si="32"/>
        <v>good teamwork</v>
      </c>
      <c r="Y97" t="str">
        <f t="shared" si="33"/>
        <v>Good Teamwork</v>
      </c>
      <c r="AA97" t="e">
        <f t="shared" si="34"/>
        <v>#VALUE!</v>
      </c>
      <c r="AB97" t="e">
        <f t="shared" si="35"/>
        <v>#VALUE!</v>
      </c>
    </row>
    <row r="98" spans="1:28">
      <c r="A98" t="s">
        <v>420</v>
      </c>
      <c r="B98" t="s">
        <v>421</v>
      </c>
      <c r="C98" t="s">
        <v>26</v>
      </c>
      <c r="D98" t="str">
        <f t="shared" si="18"/>
        <v>Isha Goyal(E1097)-Marketing</v>
      </c>
      <c r="E98" t="str">
        <f t="shared" si="19"/>
        <v>Marketing</v>
      </c>
      <c r="F98" t="s">
        <v>89</v>
      </c>
      <c r="G98" t="s">
        <v>422</v>
      </c>
      <c r="H98" t="str">
        <f t="shared" si="20"/>
        <v>Thursday</v>
      </c>
      <c r="I98" t="str">
        <f t="shared" si="21"/>
        <v>Thu</v>
      </c>
      <c r="J98" t="str">
        <f t="shared" si="22"/>
        <v>day</v>
      </c>
      <c r="K98" t="str">
        <f t="shared" si="23"/>
        <v>Apr</v>
      </c>
      <c r="L98">
        <f t="shared" si="24"/>
        <v>2021</v>
      </c>
      <c r="M98" t="s">
        <v>423</v>
      </c>
      <c r="N98">
        <f t="shared" si="25"/>
        <v>23</v>
      </c>
      <c r="O98">
        <f t="shared" si="26"/>
        <v>33</v>
      </c>
      <c r="P98">
        <f t="shared" si="27"/>
        <v>8</v>
      </c>
      <c r="Q98">
        <v>98473</v>
      </c>
      <c r="R98">
        <v>80804</v>
      </c>
      <c r="S98" t="str">
        <f t="shared" si="28"/>
        <v>high target</v>
      </c>
      <c r="T98" t="str">
        <f t="shared" si="29"/>
        <v>high target</v>
      </c>
      <c r="U98" t="s">
        <v>68</v>
      </c>
      <c r="V98">
        <f t="shared" si="30"/>
        <v>13</v>
      </c>
      <c r="W98" t="str">
        <f t="shared" si="31"/>
        <v>GOOD TEAMWORK</v>
      </c>
      <c r="X98" t="str">
        <f t="shared" si="32"/>
        <v>good teamwork</v>
      </c>
      <c r="Y98" t="str">
        <f t="shared" si="33"/>
        <v>Good Teamwork</v>
      </c>
      <c r="AA98" t="e">
        <f t="shared" si="34"/>
        <v>#VALUE!</v>
      </c>
      <c r="AB98" t="e">
        <f t="shared" si="35"/>
        <v>#VALUE!</v>
      </c>
    </row>
    <row r="99" spans="1:28">
      <c r="A99" t="s">
        <v>424</v>
      </c>
      <c r="B99" t="s">
        <v>425</v>
      </c>
      <c r="C99" t="s">
        <v>53</v>
      </c>
      <c r="D99" t="str">
        <f t="shared" si="18"/>
        <v>Deepak Patel(E1098)-HR</v>
      </c>
      <c r="E99" t="str">
        <f t="shared" si="19"/>
        <v>HR</v>
      </c>
      <c r="F99" t="s">
        <v>12</v>
      </c>
      <c r="G99" t="s">
        <v>426</v>
      </c>
      <c r="H99" t="str">
        <f t="shared" si="20"/>
        <v>Tuesday</v>
      </c>
      <c r="I99" t="str">
        <f t="shared" si="21"/>
        <v>Tue</v>
      </c>
      <c r="J99" t="str">
        <f t="shared" si="22"/>
        <v>day</v>
      </c>
      <c r="K99" t="str">
        <f t="shared" si="23"/>
        <v>Jan</v>
      </c>
      <c r="L99">
        <f t="shared" si="24"/>
        <v>2024</v>
      </c>
      <c r="M99" t="s">
        <v>427</v>
      </c>
      <c r="N99">
        <f t="shared" si="25"/>
        <v>18</v>
      </c>
      <c r="O99">
        <f t="shared" si="26"/>
        <v>59</v>
      </c>
      <c r="P99">
        <f t="shared" si="27"/>
        <v>8</v>
      </c>
      <c r="Q99">
        <v>85478</v>
      </c>
      <c r="R99">
        <v>68712</v>
      </c>
      <c r="S99" t="str">
        <f t="shared" si="28"/>
        <v>high target</v>
      </c>
      <c r="T99" t="str">
        <f t="shared" si="29"/>
        <v>mid target</v>
      </c>
      <c r="U99" t="s">
        <v>37</v>
      </c>
      <c r="V99">
        <f t="shared" si="30"/>
        <v>18</v>
      </c>
      <c r="W99" t="str">
        <f t="shared" si="31"/>
        <v>GOOD COMMUNICATION</v>
      </c>
      <c r="X99" t="str">
        <f t="shared" si="32"/>
        <v>good communication</v>
      </c>
      <c r="Y99" t="str">
        <f t="shared" si="33"/>
        <v>Good Communication</v>
      </c>
      <c r="AA99" t="e">
        <f t="shared" si="34"/>
        <v>#VALUE!</v>
      </c>
      <c r="AB99" t="e">
        <f t="shared" si="35"/>
        <v>#VALUE!</v>
      </c>
    </row>
    <row r="100" spans="1:28">
      <c r="A100" t="s">
        <v>428</v>
      </c>
      <c r="B100" t="s">
        <v>429</v>
      </c>
      <c r="C100" t="s">
        <v>53</v>
      </c>
      <c r="D100" t="str">
        <f t="shared" si="18"/>
        <v>Amit Jain(E1099)-HR</v>
      </c>
      <c r="E100" t="str">
        <f t="shared" si="19"/>
        <v>HR</v>
      </c>
      <c r="F100" t="s">
        <v>65</v>
      </c>
      <c r="G100" t="s">
        <v>430</v>
      </c>
      <c r="H100" t="str">
        <f t="shared" si="20"/>
        <v>Thursday</v>
      </c>
      <c r="I100" t="str">
        <f t="shared" si="21"/>
        <v>Thu</v>
      </c>
      <c r="J100" t="str">
        <f t="shared" si="22"/>
        <v>day</v>
      </c>
      <c r="K100" t="str">
        <f t="shared" si="23"/>
        <v>Sep</v>
      </c>
      <c r="L100">
        <f t="shared" si="24"/>
        <v>2022</v>
      </c>
      <c r="M100" t="s">
        <v>431</v>
      </c>
      <c r="N100">
        <f t="shared" si="25"/>
        <v>35</v>
      </c>
      <c r="O100">
        <f t="shared" si="26"/>
        <v>0</v>
      </c>
      <c r="P100">
        <f t="shared" si="27"/>
        <v>10</v>
      </c>
      <c r="Q100">
        <v>57846</v>
      </c>
      <c r="R100">
        <v>66738</v>
      </c>
      <c r="S100" t="str">
        <f t="shared" si="28"/>
        <v>high target</v>
      </c>
      <c r="T100" t="str">
        <f t="shared" si="29"/>
        <v>mid target</v>
      </c>
      <c r="U100" t="s">
        <v>75</v>
      </c>
      <c r="V100">
        <f t="shared" si="30"/>
        <v>16</v>
      </c>
      <c r="W100" t="str">
        <f t="shared" si="31"/>
        <v>ACCURATE REPORTS</v>
      </c>
      <c r="X100" t="str">
        <f t="shared" si="32"/>
        <v>accurate reports</v>
      </c>
      <c r="Y100" t="str">
        <f t="shared" si="33"/>
        <v>Accurate Reports</v>
      </c>
      <c r="AA100" t="e">
        <f t="shared" si="34"/>
        <v>#VALUE!</v>
      </c>
      <c r="AB100" t="e">
        <f t="shared" si="35"/>
        <v>#VALUE!</v>
      </c>
    </row>
    <row r="101" spans="1:28">
      <c r="A101" t="s">
        <v>432</v>
      </c>
      <c r="B101" t="s">
        <v>433</v>
      </c>
      <c r="C101" t="s">
        <v>26</v>
      </c>
      <c r="D101" t="str">
        <f t="shared" si="18"/>
        <v>Varun Singh(E1100)-Marketing</v>
      </c>
      <c r="E101" t="str">
        <f t="shared" si="19"/>
        <v>Marketing</v>
      </c>
      <c r="F101" t="s">
        <v>19</v>
      </c>
      <c r="G101" t="s">
        <v>434</v>
      </c>
      <c r="H101" t="str">
        <f t="shared" si="20"/>
        <v>Monday</v>
      </c>
      <c r="I101" t="str">
        <f t="shared" si="21"/>
        <v>Mon</v>
      </c>
      <c r="J101" t="str">
        <f t="shared" si="22"/>
        <v>day</v>
      </c>
      <c r="K101" t="str">
        <f t="shared" si="23"/>
        <v>Aug</v>
      </c>
      <c r="L101">
        <f t="shared" si="24"/>
        <v>2024</v>
      </c>
      <c r="M101" t="s">
        <v>435</v>
      </c>
      <c r="N101">
        <f t="shared" si="25"/>
        <v>59</v>
      </c>
      <c r="O101">
        <f t="shared" si="26"/>
        <v>31</v>
      </c>
      <c r="P101">
        <f t="shared" si="27"/>
        <v>8</v>
      </c>
      <c r="Q101">
        <v>91090</v>
      </c>
      <c r="R101">
        <v>86963</v>
      </c>
      <c r="S101" t="str">
        <f t="shared" si="28"/>
        <v>high target</v>
      </c>
      <c r="T101" t="str">
        <f t="shared" si="29"/>
        <v>high target</v>
      </c>
      <c r="U101" t="s">
        <v>44</v>
      </c>
      <c r="V101">
        <f t="shared" si="30"/>
        <v>19</v>
      </c>
      <c r="W101" t="str">
        <f t="shared" si="31"/>
        <v>STRONG PRESENTATION</v>
      </c>
      <c r="X101" t="str">
        <f t="shared" si="32"/>
        <v>strong presentation</v>
      </c>
      <c r="Y101" t="str">
        <f t="shared" si="33"/>
        <v>Strong Presentation</v>
      </c>
      <c r="AA101" t="e">
        <f t="shared" si="34"/>
        <v>#VALUE!</v>
      </c>
      <c r="AB101" t="e">
        <f t="shared" si="35"/>
        <v>#VALUE!</v>
      </c>
    </row>
    <row r="102" spans="1:28">
      <c r="A102" t="s">
        <v>436</v>
      </c>
      <c r="B102" t="s">
        <v>437</v>
      </c>
      <c r="C102" t="s">
        <v>26</v>
      </c>
      <c r="D102" t="str">
        <f t="shared" si="18"/>
        <v>Siddharth Shah(E1101)-Marketing</v>
      </c>
      <c r="E102" t="str">
        <f t="shared" si="19"/>
        <v>Marketing</v>
      </c>
      <c r="F102" t="s">
        <v>79</v>
      </c>
      <c r="G102" t="s">
        <v>438</v>
      </c>
      <c r="H102" t="str">
        <f t="shared" si="20"/>
        <v>Saturday</v>
      </c>
      <c r="I102" t="str">
        <f t="shared" si="21"/>
        <v>Sat</v>
      </c>
      <c r="J102" t="str">
        <f t="shared" si="22"/>
        <v>day</v>
      </c>
      <c r="K102" t="str">
        <f t="shared" si="23"/>
        <v>Aug</v>
      </c>
      <c r="L102">
        <f t="shared" si="24"/>
        <v>2023</v>
      </c>
      <c r="M102" t="s">
        <v>439</v>
      </c>
      <c r="N102">
        <f t="shared" si="25"/>
        <v>35</v>
      </c>
      <c r="O102">
        <f t="shared" si="26"/>
        <v>29</v>
      </c>
      <c r="P102">
        <f t="shared" si="27"/>
        <v>8</v>
      </c>
      <c r="Q102">
        <v>59617</v>
      </c>
      <c r="R102">
        <v>49479</v>
      </c>
      <c r="S102" t="str">
        <f t="shared" si="28"/>
        <v>low target</v>
      </c>
      <c r="T102" t="str">
        <f t="shared" si="29"/>
        <v>mid target</v>
      </c>
      <c r="U102" t="s">
        <v>75</v>
      </c>
      <c r="V102">
        <f t="shared" si="30"/>
        <v>16</v>
      </c>
      <c r="W102" t="str">
        <f t="shared" si="31"/>
        <v>ACCURATE REPORTS</v>
      </c>
      <c r="X102" t="str">
        <f t="shared" si="32"/>
        <v>accurate reports</v>
      </c>
      <c r="Y102" t="str">
        <f t="shared" si="33"/>
        <v>Accurate Reports</v>
      </c>
      <c r="AA102" t="e">
        <f t="shared" si="34"/>
        <v>#VALUE!</v>
      </c>
      <c r="AB102" t="e">
        <f t="shared" si="35"/>
        <v>#VALUE!</v>
      </c>
    </row>
    <row r="103" spans="1:28">
      <c r="A103" t="s">
        <v>440</v>
      </c>
      <c r="B103" t="s">
        <v>441</v>
      </c>
      <c r="C103" t="s">
        <v>53</v>
      </c>
      <c r="D103" t="str">
        <f t="shared" si="18"/>
        <v>Madhuri Jain(E1102)-HR</v>
      </c>
      <c r="E103" t="str">
        <f t="shared" si="19"/>
        <v>HR</v>
      </c>
      <c r="F103" t="s">
        <v>19</v>
      </c>
      <c r="G103" t="s">
        <v>442</v>
      </c>
      <c r="H103" t="str">
        <f t="shared" si="20"/>
        <v>Wednesday</v>
      </c>
      <c r="I103" t="str">
        <f t="shared" si="21"/>
        <v>Wed</v>
      </c>
      <c r="J103" t="str">
        <f t="shared" si="22"/>
        <v>day</v>
      </c>
      <c r="K103" t="str">
        <f t="shared" si="23"/>
        <v>Jul</v>
      </c>
      <c r="L103">
        <f t="shared" si="24"/>
        <v>2022</v>
      </c>
      <c r="M103" t="s">
        <v>443</v>
      </c>
      <c r="N103">
        <f t="shared" si="25"/>
        <v>59</v>
      </c>
      <c r="O103">
        <f t="shared" si="26"/>
        <v>21</v>
      </c>
      <c r="P103">
        <f t="shared" si="27"/>
        <v>9</v>
      </c>
      <c r="Q103">
        <v>109898</v>
      </c>
      <c r="R103">
        <v>91623</v>
      </c>
      <c r="S103" t="str">
        <f t="shared" si="28"/>
        <v>high target</v>
      </c>
      <c r="T103" t="str">
        <f t="shared" si="29"/>
        <v>high target</v>
      </c>
      <c r="U103" t="s">
        <v>142</v>
      </c>
      <c r="V103">
        <f t="shared" si="30"/>
        <v>17</v>
      </c>
      <c r="W103" t="str">
        <f t="shared" si="31"/>
        <v>NEEDS IMPROVEMENT</v>
      </c>
      <c r="X103" t="str">
        <f t="shared" si="32"/>
        <v>needs improvement</v>
      </c>
      <c r="Y103" t="str">
        <f t="shared" si="33"/>
        <v>Needs Improvement</v>
      </c>
      <c r="AA103" t="e">
        <f t="shared" si="34"/>
        <v>#VALUE!</v>
      </c>
      <c r="AB103" t="e">
        <f t="shared" si="35"/>
        <v>#VALUE!</v>
      </c>
    </row>
    <row r="104" spans="1:28">
      <c r="A104" t="s">
        <v>444</v>
      </c>
      <c r="B104" t="s">
        <v>445</v>
      </c>
      <c r="C104" t="s">
        <v>41</v>
      </c>
      <c r="D104" t="str">
        <f t="shared" si="18"/>
        <v>Varun Sharma(E1103)-Finance</v>
      </c>
      <c r="E104" t="str">
        <f t="shared" si="19"/>
        <v>Finance</v>
      </c>
      <c r="F104" t="s">
        <v>12</v>
      </c>
      <c r="G104" t="s">
        <v>446</v>
      </c>
      <c r="H104" t="str">
        <f t="shared" si="20"/>
        <v>Wednesday</v>
      </c>
      <c r="I104" t="str">
        <f t="shared" si="21"/>
        <v>Wed</v>
      </c>
      <c r="J104" t="str">
        <f t="shared" si="22"/>
        <v>day</v>
      </c>
      <c r="K104" t="str">
        <f t="shared" si="23"/>
        <v>Apr</v>
      </c>
      <c r="L104">
        <f t="shared" si="24"/>
        <v>2024</v>
      </c>
      <c r="M104" t="s">
        <v>447</v>
      </c>
      <c r="N104">
        <f t="shared" si="25"/>
        <v>31</v>
      </c>
      <c r="O104">
        <f t="shared" si="26"/>
        <v>42</v>
      </c>
      <c r="P104">
        <f t="shared" si="27"/>
        <v>10</v>
      </c>
      <c r="Q104">
        <v>91443</v>
      </c>
      <c r="R104">
        <v>96705</v>
      </c>
      <c r="S104" t="str">
        <f t="shared" si="28"/>
        <v>high target</v>
      </c>
      <c r="T104" t="str">
        <f t="shared" si="29"/>
        <v>high target</v>
      </c>
      <c r="U104" t="s">
        <v>56</v>
      </c>
      <c r="V104">
        <f t="shared" si="30"/>
        <v>16</v>
      </c>
      <c r="W104" t="str">
        <f t="shared" si="31"/>
        <v>HELPFUL ATTITUDE</v>
      </c>
      <c r="X104" t="str">
        <f t="shared" si="32"/>
        <v>helpful attitude</v>
      </c>
      <c r="Y104" t="str">
        <f t="shared" si="33"/>
        <v>Helpful Attitude</v>
      </c>
      <c r="AA104" t="e">
        <f t="shared" si="34"/>
        <v>#VALUE!</v>
      </c>
      <c r="AB104" t="e">
        <f t="shared" si="35"/>
        <v>#VALUE!</v>
      </c>
    </row>
    <row r="105" spans="1:28">
      <c r="A105" t="s">
        <v>448</v>
      </c>
      <c r="B105" t="s">
        <v>449</v>
      </c>
      <c r="C105" t="s">
        <v>41</v>
      </c>
      <c r="D105" t="str">
        <f t="shared" si="18"/>
        <v>Ritika Agarwal(E1104)-Finance</v>
      </c>
      <c r="E105" t="str">
        <f t="shared" si="19"/>
        <v>Finance</v>
      </c>
      <c r="F105" t="s">
        <v>34</v>
      </c>
      <c r="G105" t="s">
        <v>450</v>
      </c>
      <c r="H105" t="str">
        <f t="shared" si="20"/>
        <v>Monday</v>
      </c>
      <c r="I105" t="str">
        <f t="shared" si="21"/>
        <v>Mon</v>
      </c>
      <c r="J105" t="str">
        <f t="shared" si="22"/>
        <v>day</v>
      </c>
      <c r="K105" t="str">
        <f t="shared" si="23"/>
        <v>Feb</v>
      </c>
      <c r="L105">
        <f t="shared" si="24"/>
        <v>2024</v>
      </c>
      <c r="M105" t="s">
        <v>451</v>
      </c>
      <c r="N105">
        <f t="shared" si="25"/>
        <v>29</v>
      </c>
      <c r="O105">
        <f t="shared" si="26"/>
        <v>24</v>
      </c>
      <c r="P105">
        <f t="shared" si="27"/>
        <v>10</v>
      </c>
      <c r="Q105">
        <v>58451</v>
      </c>
      <c r="R105">
        <v>61088</v>
      </c>
      <c r="S105" t="str">
        <f t="shared" si="28"/>
        <v>high target</v>
      </c>
      <c r="T105" t="str">
        <f t="shared" si="29"/>
        <v>mid target</v>
      </c>
      <c r="U105" t="s">
        <v>22</v>
      </c>
      <c r="V105">
        <f t="shared" si="30"/>
        <v>13</v>
      </c>
      <c r="W105" t="str">
        <f t="shared" si="31"/>
        <v>FAST DELIVERY</v>
      </c>
      <c r="X105" t="str">
        <f t="shared" si="32"/>
        <v>fast delivery</v>
      </c>
      <c r="Y105" t="str">
        <f t="shared" si="33"/>
        <v>Fast Delivery</v>
      </c>
      <c r="AA105" t="e">
        <f t="shared" si="34"/>
        <v>#VALUE!</v>
      </c>
      <c r="AB105" t="e">
        <f t="shared" si="35"/>
        <v>#VALUE!</v>
      </c>
    </row>
    <row r="106" spans="1:28">
      <c r="A106" t="s">
        <v>452</v>
      </c>
      <c r="B106" t="s">
        <v>453</v>
      </c>
      <c r="C106" t="s">
        <v>26</v>
      </c>
      <c r="D106" t="str">
        <f t="shared" si="18"/>
        <v>Pooja Mishra(E1105)-Marketing</v>
      </c>
      <c r="E106" t="str">
        <f t="shared" si="19"/>
        <v>Marketing</v>
      </c>
      <c r="F106" t="s">
        <v>27</v>
      </c>
      <c r="G106" t="s">
        <v>454</v>
      </c>
      <c r="H106" t="str">
        <f t="shared" si="20"/>
        <v>Saturday</v>
      </c>
      <c r="I106" t="str">
        <f t="shared" si="21"/>
        <v>Sat</v>
      </c>
      <c r="J106" t="str">
        <f t="shared" si="22"/>
        <v>day</v>
      </c>
      <c r="K106" t="str">
        <f t="shared" si="23"/>
        <v>Apr</v>
      </c>
      <c r="L106">
        <f t="shared" si="24"/>
        <v>2023</v>
      </c>
      <c r="M106" t="s">
        <v>455</v>
      </c>
      <c r="N106">
        <f t="shared" si="25"/>
        <v>47</v>
      </c>
      <c r="O106">
        <f t="shared" si="26"/>
        <v>20</v>
      </c>
      <c r="P106">
        <f t="shared" si="27"/>
        <v>8</v>
      </c>
      <c r="Q106">
        <v>80980</v>
      </c>
      <c r="R106">
        <v>70996</v>
      </c>
      <c r="S106" t="str">
        <f t="shared" si="28"/>
        <v>high target</v>
      </c>
      <c r="T106" t="str">
        <f t="shared" si="29"/>
        <v>high target</v>
      </c>
      <c r="U106" t="s">
        <v>168</v>
      </c>
      <c r="V106">
        <f t="shared" si="30"/>
        <v>17</v>
      </c>
      <c r="W106" t="str">
        <f t="shared" si="31"/>
        <v>DETAILED ANALYSIS</v>
      </c>
      <c r="X106" t="str">
        <f t="shared" si="32"/>
        <v>detailed analysis</v>
      </c>
      <c r="Y106" t="str">
        <f t="shared" si="33"/>
        <v>Detailed Analysis</v>
      </c>
      <c r="AA106" t="e">
        <f t="shared" si="34"/>
        <v>#VALUE!</v>
      </c>
      <c r="AB106" t="e">
        <f t="shared" si="35"/>
        <v>#VALUE!</v>
      </c>
    </row>
    <row r="107" spans="1:28">
      <c r="A107" t="s">
        <v>456</v>
      </c>
      <c r="B107" t="s">
        <v>457</v>
      </c>
      <c r="C107" t="s">
        <v>26</v>
      </c>
      <c r="D107" t="str">
        <f t="shared" si="18"/>
        <v>Nidhi Kumar(E1106)-Marketing</v>
      </c>
      <c r="E107" t="str">
        <f t="shared" si="19"/>
        <v>Marketing</v>
      </c>
      <c r="F107" t="s">
        <v>72</v>
      </c>
      <c r="G107" t="s">
        <v>458</v>
      </c>
      <c r="H107" t="str">
        <f t="shared" si="20"/>
        <v>Thursday</v>
      </c>
      <c r="I107" t="str">
        <f t="shared" si="21"/>
        <v>Thu</v>
      </c>
      <c r="J107" t="str">
        <f t="shared" si="22"/>
        <v>day</v>
      </c>
      <c r="K107" t="str">
        <f t="shared" si="23"/>
        <v>Sep</v>
      </c>
      <c r="L107">
        <f t="shared" si="24"/>
        <v>2021</v>
      </c>
      <c r="M107" t="s">
        <v>459</v>
      </c>
      <c r="N107">
        <f t="shared" si="25"/>
        <v>21</v>
      </c>
      <c r="O107">
        <f t="shared" si="26"/>
        <v>37</v>
      </c>
      <c r="P107">
        <f t="shared" si="27"/>
        <v>10</v>
      </c>
      <c r="Q107">
        <v>88573</v>
      </c>
      <c r="R107">
        <v>96996</v>
      </c>
      <c r="S107" t="str">
        <f t="shared" si="28"/>
        <v>high target</v>
      </c>
      <c r="T107" t="str">
        <f t="shared" si="29"/>
        <v>high target</v>
      </c>
      <c r="U107" t="s">
        <v>213</v>
      </c>
      <c r="V107">
        <f t="shared" si="30"/>
        <v>17</v>
      </c>
      <c r="W107" t="str">
        <f t="shared" si="31"/>
        <v>POSITIVE ATTITUDE</v>
      </c>
      <c r="X107" t="str">
        <f t="shared" si="32"/>
        <v>positive attitude</v>
      </c>
      <c r="Y107" t="str">
        <f t="shared" si="33"/>
        <v>Positive Attitude</v>
      </c>
      <c r="AA107" t="e">
        <f t="shared" si="34"/>
        <v>#VALUE!</v>
      </c>
      <c r="AB107" t="e">
        <f t="shared" si="35"/>
        <v>#VALUE!</v>
      </c>
    </row>
    <row r="108" spans="1:28">
      <c r="A108" t="s">
        <v>460</v>
      </c>
      <c r="B108" t="s">
        <v>461</v>
      </c>
      <c r="C108" t="s">
        <v>11</v>
      </c>
      <c r="D108" t="str">
        <f t="shared" si="18"/>
        <v>Isha Malhotra(E1107)-Sales</v>
      </c>
      <c r="E108" t="str">
        <f t="shared" si="19"/>
        <v>Sales</v>
      </c>
      <c r="F108" t="s">
        <v>79</v>
      </c>
      <c r="G108" t="s">
        <v>462</v>
      </c>
      <c r="H108" t="str">
        <f t="shared" si="20"/>
        <v>Monday</v>
      </c>
      <c r="I108" t="str">
        <f t="shared" si="21"/>
        <v>Mon</v>
      </c>
      <c r="J108" t="str">
        <f t="shared" si="22"/>
        <v>day</v>
      </c>
      <c r="K108" t="str">
        <f t="shared" si="23"/>
        <v>Feb</v>
      </c>
      <c r="L108">
        <f t="shared" si="24"/>
        <v>2021</v>
      </c>
      <c r="M108" t="s">
        <v>463</v>
      </c>
      <c r="N108">
        <f t="shared" si="25"/>
        <v>26</v>
      </c>
      <c r="O108">
        <f t="shared" si="26"/>
        <v>9</v>
      </c>
      <c r="P108">
        <f t="shared" si="27"/>
        <v>10</v>
      </c>
      <c r="Q108">
        <v>92193</v>
      </c>
      <c r="R108">
        <v>97077</v>
      </c>
      <c r="S108" t="str">
        <f t="shared" si="28"/>
        <v>high target</v>
      </c>
      <c r="T108" t="str">
        <f t="shared" si="29"/>
        <v>high target</v>
      </c>
      <c r="U108" t="s">
        <v>37</v>
      </c>
      <c r="V108">
        <f t="shared" si="30"/>
        <v>18</v>
      </c>
      <c r="W108" t="str">
        <f t="shared" si="31"/>
        <v>GOOD COMMUNICATION</v>
      </c>
      <c r="X108" t="str">
        <f t="shared" si="32"/>
        <v>good communication</v>
      </c>
      <c r="Y108" t="str">
        <f t="shared" si="33"/>
        <v>Good Communication</v>
      </c>
      <c r="AA108" t="e">
        <f t="shared" si="34"/>
        <v>#VALUE!</v>
      </c>
      <c r="AB108" t="e">
        <f t="shared" si="35"/>
        <v>#VALUE!</v>
      </c>
    </row>
    <row r="109" spans="1:28">
      <c r="A109" t="s">
        <v>464</v>
      </c>
      <c r="B109" t="s">
        <v>465</v>
      </c>
      <c r="C109" t="s">
        <v>41</v>
      </c>
      <c r="D109" t="str">
        <f t="shared" si="18"/>
        <v>Kavita Shah(E1108)-Finance</v>
      </c>
      <c r="E109" t="str">
        <f t="shared" si="19"/>
        <v>Finance</v>
      </c>
      <c r="F109" t="s">
        <v>89</v>
      </c>
      <c r="G109" t="s">
        <v>466</v>
      </c>
      <c r="H109" t="str">
        <f t="shared" si="20"/>
        <v>Friday</v>
      </c>
      <c r="I109" t="str">
        <f t="shared" si="21"/>
        <v>Fri</v>
      </c>
      <c r="J109" t="str">
        <f t="shared" si="22"/>
        <v>day</v>
      </c>
      <c r="K109" t="str">
        <f t="shared" si="23"/>
        <v>Aug</v>
      </c>
      <c r="L109">
        <f t="shared" si="24"/>
        <v>2024</v>
      </c>
      <c r="M109" t="s">
        <v>467</v>
      </c>
      <c r="N109">
        <f t="shared" si="25"/>
        <v>21</v>
      </c>
      <c r="O109">
        <f t="shared" si="26"/>
        <v>54</v>
      </c>
      <c r="P109">
        <f t="shared" si="27"/>
        <v>8</v>
      </c>
      <c r="Q109">
        <v>115830</v>
      </c>
      <c r="R109">
        <v>95859</v>
      </c>
      <c r="S109" t="str">
        <f t="shared" si="28"/>
        <v>high target</v>
      </c>
      <c r="T109" t="str">
        <f t="shared" si="29"/>
        <v>high target</v>
      </c>
      <c r="U109" t="s">
        <v>168</v>
      </c>
      <c r="V109">
        <f t="shared" si="30"/>
        <v>17</v>
      </c>
      <c r="W109" t="str">
        <f t="shared" si="31"/>
        <v>DETAILED ANALYSIS</v>
      </c>
      <c r="X109" t="str">
        <f t="shared" si="32"/>
        <v>detailed analysis</v>
      </c>
      <c r="Y109" t="str">
        <f t="shared" si="33"/>
        <v>Detailed Analysis</v>
      </c>
      <c r="AA109" t="e">
        <f t="shared" si="34"/>
        <v>#VALUE!</v>
      </c>
      <c r="AB109" t="e">
        <f t="shared" si="35"/>
        <v>#VALUE!</v>
      </c>
    </row>
    <row r="110" spans="1:28">
      <c r="A110" t="s">
        <v>468</v>
      </c>
      <c r="B110" t="s">
        <v>469</v>
      </c>
      <c r="C110" t="s">
        <v>11</v>
      </c>
      <c r="D110" t="str">
        <f t="shared" si="18"/>
        <v>Rohan Agarwal(E1109)-Sales</v>
      </c>
      <c r="E110" t="str">
        <f t="shared" si="19"/>
        <v>Sales</v>
      </c>
      <c r="F110" t="s">
        <v>19</v>
      </c>
      <c r="G110" t="s">
        <v>470</v>
      </c>
      <c r="H110" t="str">
        <f t="shared" si="20"/>
        <v>Tuesday</v>
      </c>
      <c r="I110" t="str">
        <f t="shared" si="21"/>
        <v>Tue</v>
      </c>
      <c r="J110" t="str">
        <f t="shared" si="22"/>
        <v>day</v>
      </c>
      <c r="K110" t="str">
        <f t="shared" si="23"/>
        <v>Apr</v>
      </c>
      <c r="L110">
        <f t="shared" si="24"/>
        <v>2022</v>
      </c>
      <c r="M110" t="s">
        <v>471</v>
      </c>
      <c r="N110">
        <f t="shared" si="25"/>
        <v>58</v>
      </c>
      <c r="O110">
        <f t="shared" si="26"/>
        <v>43</v>
      </c>
      <c r="P110">
        <f t="shared" si="27"/>
        <v>10</v>
      </c>
      <c r="Q110">
        <v>58741</v>
      </c>
      <c r="R110">
        <v>58833</v>
      </c>
      <c r="S110" t="str">
        <f t="shared" si="28"/>
        <v>high target</v>
      </c>
      <c r="T110" t="str">
        <f t="shared" si="29"/>
        <v>mid target</v>
      </c>
      <c r="U110" t="s">
        <v>22</v>
      </c>
      <c r="V110">
        <f t="shared" si="30"/>
        <v>13</v>
      </c>
      <c r="W110" t="str">
        <f t="shared" si="31"/>
        <v>FAST DELIVERY</v>
      </c>
      <c r="X110" t="str">
        <f t="shared" si="32"/>
        <v>fast delivery</v>
      </c>
      <c r="Y110" t="str">
        <f t="shared" si="33"/>
        <v>Fast Delivery</v>
      </c>
      <c r="AA110" t="e">
        <f t="shared" si="34"/>
        <v>#VALUE!</v>
      </c>
      <c r="AB110" t="e">
        <f t="shared" si="35"/>
        <v>#VALUE!</v>
      </c>
    </row>
    <row r="111" spans="1:28">
      <c r="A111" t="s">
        <v>472</v>
      </c>
      <c r="B111" t="s">
        <v>473</v>
      </c>
      <c r="C111" t="s">
        <v>11</v>
      </c>
      <c r="D111" t="str">
        <f t="shared" si="18"/>
        <v>Rahul Chopra(E1110)-Sales</v>
      </c>
      <c r="E111" t="str">
        <f t="shared" si="19"/>
        <v>Sales</v>
      </c>
      <c r="F111" t="s">
        <v>19</v>
      </c>
      <c r="G111" t="s">
        <v>474</v>
      </c>
      <c r="H111" t="str">
        <f t="shared" si="20"/>
        <v>Wednesday</v>
      </c>
      <c r="I111" t="str">
        <f t="shared" si="21"/>
        <v>Wed</v>
      </c>
      <c r="J111" t="str">
        <f t="shared" si="22"/>
        <v>day</v>
      </c>
      <c r="K111" t="str">
        <f t="shared" si="23"/>
        <v>Jun</v>
      </c>
      <c r="L111">
        <f t="shared" si="24"/>
        <v>2023</v>
      </c>
      <c r="M111" t="s">
        <v>475</v>
      </c>
      <c r="N111">
        <f t="shared" si="25"/>
        <v>19</v>
      </c>
      <c r="O111">
        <f t="shared" si="26"/>
        <v>44</v>
      </c>
      <c r="P111">
        <f t="shared" si="27"/>
        <v>8</v>
      </c>
      <c r="Q111">
        <v>86103</v>
      </c>
      <c r="R111">
        <v>99206</v>
      </c>
      <c r="S111" t="str">
        <f t="shared" si="28"/>
        <v>high target</v>
      </c>
      <c r="T111" t="str">
        <f t="shared" si="29"/>
        <v>high target</v>
      </c>
      <c r="U111" t="s">
        <v>159</v>
      </c>
      <c r="V111">
        <f t="shared" si="30"/>
        <v>17</v>
      </c>
      <c r="W111" t="str">
        <f t="shared" si="31"/>
        <v>EXCELLENT SERVICE</v>
      </c>
      <c r="X111" t="str">
        <f t="shared" si="32"/>
        <v>excellent service</v>
      </c>
      <c r="Y111" t="str">
        <f t="shared" si="33"/>
        <v>Excellent Service</v>
      </c>
      <c r="AA111" t="e">
        <f t="shared" si="34"/>
        <v>#VALUE!</v>
      </c>
      <c r="AB111" t="e">
        <f t="shared" si="35"/>
        <v>#VALUE!</v>
      </c>
    </row>
    <row r="112" spans="1:28">
      <c r="A112" t="s">
        <v>476</v>
      </c>
      <c r="B112" t="s">
        <v>71</v>
      </c>
      <c r="C112" t="s">
        <v>41</v>
      </c>
      <c r="D112" t="str">
        <f t="shared" si="18"/>
        <v>Rohan Patel(E1111)-Finance</v>
      </c>
      <c r="E112" t="str">
        <f t="shared" si="19"/>
        <v>Finance</v>
      </c>
      <c r="F112" t="s">
        <v>34</v>
      </c>
      <c r="G112" t="s">
        <v>477</v>
      </c>
      <c r="H112" t="str">
        <f t="shared" si="20"/>
        <v>Tuesday</v>
      </c>
      <c r="I112" t="str">
        <f t="shared" si="21"/>
        <v>Tue</v>
      </c>
      <c r="J112" t="str">
        <f t="shared" si="22"/>
        <v>day</v>
      </c>
      <c r="K112" t="str">
        <f t="shared" si="23"/>
        <v>Feb</v>
      </c>
      <c r="L112">
        <f t="shared" si="24"/>
        <v>2023</v>
      </c>
      <c r="M112" t="s">
        <v>478</v>
      </c>
      <c r="N112">
        <f t="shared" si="25"/>
        <v>15</v>
      </c>
      <c r="O112">
        <f t="shared" si="26"/>
        <v>9</v>
      </c>
      <c r="P112">
        <f t="shared" si="27"/>
        <v>9</v>
      </c>
      <c r="Q112">
        <v>86814</v>
      </c>
      <c r="R112">
        <v>74810</v>
      </c>
      <c r="S112" t="str">
        <f t="shared" si="28"/>
        <v>high target</v>
      </c>
      <c r="T112" t="str">
        <f t="shared" si="29"/>
        <v>high target</v>
      </c>
      <c r="U112" t="s">
        <v>15</v>
      </c>
      <c r="V112">
        <f t="shared" si="30"/>
        <v>20</v>
      </c>
      <c r="W112" t="str">
        <f t="shared" si="31"/>
        <v>EXCELLENT LEADERSHIP</v>
      </c>
      <c r="X112" t="str">
        <f t="shared" si="32"/>
        <v>excellent leadership</v>
      </c>
      <c r="Y112" t="str">
        <f t="shared" si="33"/>
        <v>Excellent Leadership</v>
      </c>
      <c r="AA112" t="e">
        <f t="shared" si="34"/>
        <v>#VALUE!</v>
      </c>
      <c r="AB112" t="e">
        <f t="shared" si="35"/>
        <v>#VALUE!</v>
      </c>
    </row>
    <row r="113" spans="1:28">
      <c r="A113" t="s">
        <v>479</v>
      </c>
      <c r="B113" t="s">
        <v>480</v>
      </c>
      <c r="C113" t="s">
        <v>53</v>
      </c>
      <c r="D113" t="str">
        <f t="shared" si="18"/>
        <v>Nidhi Joshi(E1112)-HR</v>
      </c>
      <c r="E113" t="str">
        <f t="shared" si="19"/>
        <v>HR</v>
      </c>
      <c r="F113" t="s">
        <v>65</v>
      </c>
      <c r="G113" t="s">
        <v>481</v>
      </c>
      <c r="H113" t="str">
        <f t="shared" si="20"/>
        <v>Friday</v>
      </c>
      <c r="I113" t="str">
        <f t="shared" si="21"/>
        <v>Fri</v>
      </c>
      <c r="J113" t="str">
        <f t="shared" si="22"/>
        <v>day</v>
      </c>
      <c r="K113" t="str">
        <f t="shared" si="23"/>
        <v>Jun</v>
      </c>
      <c r="L113">
        <f t="shared" si="24"/>
        <v>2021</v>
      </c>
      <c r="M113" t="s">
        <v>482</v>
      </c>
      <c r="N113">
        <f t="shared" si="25"/>
        <v>24</v>
      </c>
      <c r="O113">
        <f t="shared" si="26"/>
        <v>55</v>
      </c>
      <c r="P113">
        <f t="shared" si="27"/>
        <v>10</v>
      </c>
      <c r="Q113">
        <v>81396</v>
      </c>
      <c r="R113">
        <v>80613</v>
      </c>
      <c r="S113" t="str">
        <f t="shared" si="28"/>
        <v>high target</v>
      </c>
      <c r="T113" t="str">
        <f t="shared" si="29"/>
        <v>high target</v>
      </c>
      <c r="U113" t="s">
        <v>56</v>
      </c>
      <c r="V113">
        <f t="shared" si="30"/>
        <v>16</v>
      </c>
      <c r="W113" t="str">
        <f t="shared" si="31"/>
        <v>HELPFUL ATTITUDE</v>
      </c>
      <c r="X113" t="str">
        <f t="shared" si="32"/>
        <v>helpful attitude</v>
      </c>
      <c r="Y113" t="str">
        <f t="shared" si="33"/>
        <v>Helpful Attitude</v>
      </c>
      <c r="AA113" t="e">
        <f t="shared" si="34"/>
        <v>#VALUE!</v>
      </c>
      <c r="AB113" t="e">
        <f t="shared" si="35"/>
        <v>#VALUE!</v>
      </c>
    </row>
    <row r="114" spans="1:28">
      <c r="A114" t="s">
        <v>483</v>
      </c>
      <c r="B114" t="s">
        <v>484</v>
      </c>
      <c r="C114" t="s">
        <v>53</v>
      </c>
      <c r="D114" t="str">
        <f t="shared" si="18"/>
        <v>Madhuri Mishra(E1113)-HR</v>
      </c>
      <c r="E114" t="str">
        <f t="shared" si="19"/>
        <v>HR</v>
      </c>
      <c r="F114" t="s">
        <v>27</v>
      </c>
      <c r="G114" t="s">
        <v>485</v>
      </c>
      <c r="H114" t="str">
        <f t="shared" si="20"/>
        <v>Thursday</v>
      </c>
      <c r="I114" t="str">
        <f t="shared" si="21"/>
        <v>Thu</v>
      </c>
      <c r="J114" t="str">
        <f t="shared" si="22"/>
        <v>day</v>
      </c>
      <c r="K114" t="str">
        <f t="shared" si="23"/>
        <v>Aug</v>
      </c>
      <c r="L114">
        <f t="shared" si="24"/>
        <v>2023</v>
      </c>
      <c r="M114" t="s">
        <v>486</v>
      </c>
      <c r="N114">
        <f t="shared" si="25"/>
        <v>29</v>
      </c>
      <c r="O114">
        <f t="shared" si="26"/>
        <v>16</v>
      </c>
      <c r="P114">
        <f t="shared" si="27"/>
        <v>10</v>
      </c>
      <c r="Q114">
        <v>42348</v>
      </c>
      <c r="R114">
        <v>56733</v>
      </c>
      <c r="S114" t="str">
        <f t="shared" si="28"/>
        <v>high target</v>
      </c>
      <c r="T114" t="str">
        <f t="shared" si="29"/>
        <v>mid target</v>
      </c>
      <c r="U114" t="s">
        <v>487</v>
      </c>
      <c r="V114">
        <f t="shared" si="30"/>
        <v>13</v>
      </c>
      <c r="W114" t="str">
        <f t="shared" si="31"/>
        <v>GREAT SUPPORT</v>
      </c>
      <c r="X114" t="str">
        <f t="shared" si="32"/>
        <v>great support</v>
      </c>
      <c r="Y114" t="str">
        <f t="shared" si="33"/>
        <v>Great Support</v>
      </c>
      <c r="AA114" t="e">
        <f t="shared" si="34"/>
        <v>#VALUE!</v>
      </c>
      <c r="AB114" t="e">
        <f t="shared" si="35"/>
        <v>#VALUE!</v>
      </c>
    </row>
    <row r="115" spans="1:28">
      <c r="A115" t="s">
        <v>488</v>
      </c>
      <c r="B115" t="s">
        <v>489</v>
      </c>
      <c r="C115" t="s">
        <v>41</v>
      </c>
      <c r="D115" t="str">
        <f t="shared" si="18"/>
        <v>Tanya Malhotra(E1114)-Finance</v>
      </c>
      <c r="E115" t="str">
        <f t="shared" si="19"/>
        <v>Finance</v>
      </c>
      <c r="F115" t="s">
        <v>65</v>
      </c>
      <c r="G115" t="s">
        <v>490</v>
      </c>
      <c r="H115" t="str">
        <f t="shared" si="20"/>
        <v>Tuesday</v>
      </c>
      <c r="I115" t="str">
        <f t="shared" si="21"/>
        <v>Tue</v>
      </c>
      <c r="J115" t="str">
        <f t="shared" si="22"/>
        <v>day</v>
      </c>
      <c r="K115" t="str">
        <f t="shared" si="23"/>
        <v>Jun</v>
      </c>
      <c r="L115">
        <f t="shared" si="24"/>
        <v>2021</v>
      </c>
      <c r="M115" t="s">
        <v>491</v>
      </c>
      <c r="N115">
        <f t="shared" si="25"/>
        <v>37</v>
      </c>
      <c r="O115">
        <f t="shared" si="26"/>
        <v>22</v>
      </c>
      <c r="P115">
        <f t="shared" si="27"/>
        <v>9</v>
      </c>
      <c r="Q115">
        <v>72412</v>
      </c>
      <c r="R115">
        <v>59605</v>
      </c>
      <c r="S115" t="str">
        <f t="shared" si="28"/>
        <v>high target</v>
      </c>
      <c r="T115" t="str">
        <f t="shared" si="29"/>
        <v>mid target</v>
      </c>
      <c r="U115" t="s">
        <v>22</v>
      </c>
      <c r="V115">
        <f t="shared" si="30"/>
        <v>13</v>
      </c>
      <c r="W115" t="str">
        <f t="shared" si="31"/>
        <v>FAST DELIVERY</v>
      </c>
      <c r="X115" t="str">
        <f t="shared" si="32"/>
        <v>fast delivery</v>
      </c>
      <c r="Y115" t="str">
        <f t="shared" si="33"/>
        <v>Fast Delivery</v>
      </c>
      <c r="AA115" t="e">
        <f t="shared" si="34"/>
        <v>#VALUE!</v>
      </c>
      <c r="AB115" t="e">
        <f t="shared" si="35"/>
        <v>#VALUE!</v>
      </c>
    </row>
    <row r="116" spans="1:28">
      <c r="A116" t="s">
        <v>492</v>
      </c>
      <c r="B116" t="s">
        <v>493</v>
      </c>
      <c r="C116" t="s">
        <v>41</v>
      </c>
      <c r="D116" t="str">
        <f t="shared" si="18"/>
        <v>Vikram Malhotra(E1115)-Finance</v>
      </c>
      <c r="E116" t="str">
        <f t="shared" si="19"/>
        <v>Finance</v>
      </c>
      <c r="F116" t="s">
        <v>27</v>
      </c>
      <c r="G116" t="s">
        <v>494</v>
      </c>
      <c r="H116" t="str">
        <f t="shared" si="20"/>
        <v>Monday</v>
      </c>
      <c r="I116" t="str">
        <f t="shared" si="21"/>
        <v>Mon</v>
      </c>
      <c r="J116" t="str">
        <f t="shared" si="22"/>
        <v>day</v>
      </c>
      <c r="K116" t="str">
        <f t="shared" si="23"/>
        <v>Feb</v>
      </c>
      <c r="L116">
        <f t="shared" si="24"/>
        <v>2023</v>
      </c>
      <c r="M116" t="s">
        <v>495</v>
      </c>
      <c r="N116">
        <f t="shared" si="25"/>
        <v>15</v>
      </c>
      <c r="O116">
        <f t="shared" si="26"/>
        <v>6</v>
      </c>
      <c r="P116">
        <f t="shared" si="27"/>
        <v>9</v>
      </c>
      <c r="Q116">
        <v>73517</v>
      </c>
      <c r="R116">
        <v>64993</v>
      </c>
      <c r="S116" t="str">
        <f t="shared" si="28"/>
        <v>high target</v>
      </c>
      <c r="T116" t="str">
        <f t="shared" si="29"/>
        <v>mid target</v>
      </c>
      <c r="U116" t="s">
        <v>15</v>
      </c>
      <c r="V116">
        <f t="shared" si="30"/>
        <v>20</v>
      </c>
      <c r="W116" t="str">
        <f t="shared" si="31"/>
        <v>EXCELLENT LEADERSHIP</v>
      </c>
      <c r="X116" t="str">
        <f t="shared" si="32"/>
        <v>excellent leadership</v>
      </c>
      <c r="Y116" t="str">
        <f t="shared" si="33"/>
        <v>Excellent Leadership</v>
      </c>
      <c r="AA116" t="e">
        <f t="shared" si="34"/>
        <v>#VALUE!</v>
      </c>
      <c r="AB116" t="e">
        <f t="shared" si="35"/>
        <v>#VALUE!</v>
      </c>
    </row>
    <row r="117" spans="1:28">
      <c r="A117" t="s">
        <v>496</v>
      </c>
      <c r="B117" t="s">
        <v>497</v>
      </c>
      <c r="C117" t="s">
        <v>11</v>
      </c>
      <c r="D117" t="str">
        <f t="shared" si="18"/>
        <v>Anjali Gupta(E1116)-Sales</v>
      </c>
      <c r="E117" t="str">
        <f t="shared" si="19"/>
        <v>Sales</v>
      </c>
      <c r="F117" t="s">
        <v>89</v>
      </c>
      <c r="G117" t="s">
        <v>498</v>
      </c>
      <c r="H117" t="str">
        <f t="shared" si="20"/>
        <v>Sunday</v>
      </c>
      <c r="I117" t="str">
        <f t="shared" si="21"/>
        <v>Sun</v>
      </c>
      <c r="J117" t="str">
        <f t="shared" si="22"/>
        <v>day</v>
      </c>
      <c r="K117" t="str">
        <f t="shared" si="23"/>
        <v>Jul</v>
      </c>
      <c r="L117">
        <f t="shared" si="24"/>
        <v>2022</v>
      </c>
      <c r="M117" t="s">
        <v>499</v>
      </c>
      <c r="N117">
        <f t="shared" si="25"/>
        <v>55</v>
      </c>
      <c r="O117">
        <f t="shared" si="26"/>
        <v>36</v>
      </c>
      <c r="P117">
        <f t="shared" si="27"/>
        <v>8</v>
      </c>
      <c r="Q117">
        <v>73158</v>
      </c>
      <c r="R117">
        <v>84944</v>
      </c>
      <c r="S117" t="str">
        <f t="shared" si="28"/>
        <v>high target</v>
      </c>
      <c r="T117" t="str">
        <f t="shared" si="29"/>
        <v>high target</v>
      </c>
      <c r="U117" t="s">
        <v>487</v>
      </c>
      <c r="V117">
        <f t="shared" si="30"/>
        <v>13</v>
      </c>
      <c r="W117" t="str">
        <f t="shared" si="31"/>
        <v>GREAT SUPPORT</v>
      </c>
      <c r="X117" t="str">
        <f t="shared" si="32"/>
        <v>great support</v>
      </c>
      <c r="Y117" t="str">
        <f t="shared" si="33"/>
        <v>Great Support</v>
      </c>
      <c r="AA117" t="e">
        <f t="shared" si="34"/>
        <v>#VALUE!</v>
      </c>
      <c r="AB117" t="e">
        <f t="shared" si="35"/>
        <v>#VALUE!</v>
      </c>
    </row>
    <row r="118" spans="1:28">
      <c r="A118" t="s">
        <v>500</v>
      </c>
      <c r="B118" t="s">
        <v>501</v>
      </c>
      <c r="C118" t="s">
        <v>41</v>
      </c>
      <c r="D118" t="str">
        <f t="shared" si="18"/>
        <v>Shreya Agarwal(E1117)-Finance</v>
      </c>
      <c r="E118" t="str">
        <f t="shared" si="19"/>
        <v>Finance</v>
      </c>
      <c r="F118" t="s">
        <v>27</v>
      </c>
      <c r="G118" t="s">
        <v>502</v>
      </c>
      <c r="H118" t="str">
        <f t="shared" si="20"/>
        <v>Tuesday</v>
      </c>
      <c r="I118" t="str">
        <f t="shared" si="21"/>
        <v>Tue</v>
      </c>
      <c r="J118" t="str">
        <f t="shared" si="22"/>
        <v>day</v>
      </c>
      <c r="K118" t="str">
        <f t="shared" si="23"/>
        <v>May</v>
      </c>
      <c r="L118">
        <f t="shared" si="24"/>
        <v>2024</v>
      </c>
      <c r="M118" t="s">
        <v>503</v>
      </c>
      <c r="N118">
        <f t="shared" si="25"/>
        <v>40</v>
      </c>
      <c r="O118">
        <f t="shared" si="26"/>
        <v>14</v>
      </c>
      <c r="P118">
        <f t="shared" si="27"/>
        <v>9</v>
      </c>
      <c r="Q118">
        <v>53885</v>
      </c>
      <c r="R118">
        <v>52460</v>
      </c>
      <c r="S118" t="str">
        <f t="shared" si="28"/>
        <v>high target</v>
      </c>
      <c r="T118" t="str">
        <f t="shared" si="29"/>
        <v>mid target</v>
      </c>
      <c r="U118" t="s">
        <v>68</v>
      </c>
      <c r="V118">
        <f t="shared" si="30"/>
        <v>13</v>
      </c>
      <c r="W118" t="str">
        <f t="shared" si="31"/>
        <v>GOOD TEAMWORK</v>
      </c>
      <c r="X118" t="str">
        <f t="shared" si="32"/>
        <v>good teamwork</v>
      </c>
      <c r="Y118" t="str">
        <f t="shared" si="33"/>
        <v>Good Teamwork</v>
      </c>
      <c r="AA118" t="e">
        <f t="shared" si="34"/>
        <v>#VALUE!</v>
      </c>
      <c r="AB118" t="e">
        <f t="shared" si="35"/>
        <v>#VALUE!</v>
      </c>
    </row>
    <row r="119" spans="1:28">
      <c r="A119" t="s">
        <v>504</v>
      </c>
      <c r="B119" t="s">
        <v>505</v>
      </c>
      <c r="C119" t="s">
        <v>11</v>
      </c>
      <c r="D119" t="str">
        <f t="shared" si="18"/>
        <v>Harsh Kumar(E1118)-Sales</v>
      </c>
      <c r="E119" t="str">
        <f t="shared" si="19"/>
        <v>Sales</v>
      </c>
      <c r="F119" t="s">
        <v>72</v>
      </c>
      <c r="G119" t="s">
        <v>506</v>
      </c>
      <c r="H119" t="str">
        <f t="shared" si="20"/>
        <v>Sunday</v>
      </c>
      <c r="I119" t="str">
        <f t="shared" si="21"/>
        <v>Sun</v>
      </c>
      <c r="J119" t="str">
        <f t="shared" si="22"/>
        <v>day</v>
      </c>
      <c r="K119" t="str">
        <f t="shared" si="23"/>
        <v>Sep</v>
      </c>
      <c r="L119">
        <f t="shared" si="24"/>
        <v>2022</v>
      </c>
      <c r="M119" t="s">
        <v>507</v>
      </c>
      <c r="N119">
        <f t="shared" si="25"/>
        <v>37</v>
      </c>
      <c r="O119">
        <f t="shared" si="26"/>
        <v>2</v>
      </c>
      <c r="P119">
        <f t="shared" si="27"/>
        <v>9</v>
      </c>
      <c r="Q119">
        <v>57523</v>
      </c>
      <c r="R119">
        <v>63911</v>
      </c>
      <c r="S119" t="str">
        <f t="shared" si="28"/>
        <v>high target</v>
      </c>
      <c r="T119" t="str">
        <f t="shared" si="29"/>
        <v>mid target</v>
      </c>
      <c r="U119" t="s">
        <v>37</v>
      </c>
      <c r="V119">
        <f t="shared" si="30"/>
        <v>18</v>
      </c>
      <c r="W119" t="str">
        <f t="shared" si="31"/>
        <v>GOOD COMMUNICATION</v>
      </c>
      <c r="X119" t="str">
        <f t="shared" si="32"/>
        <v>good communication</v>
      </c>
      <c r="Y119" t="str">
        <f t="shared" si="33"/>
        <v>Good Communication</v>
      </c>
      <c r="AA119" t="e">
        <f t="shared" si="34"/>
        <v>#VALUE!</v>
      </c>
      <c r="AB119" t="e">
        <f t="shared" si="35"/>
        <v>#VALUE!</v>
      </c>
    </row>
    <row r="120" spans="1:28">
      <c r="A120" t="s">
        <v>508</v>
      </c>
      <c r="B120" t="s">
        <v>509</v>
      </c>
      <c r="C120" t="s">
        <v>41</v>
      </c>
      <c r="D120" t="str">
        <f t="shared" si="18"/>
        <v>Madhuri Gupta(E1119)-Finance</v>
      </c>
      <c r="E120" t="str">
        <f t="shared" si="19"/>
        <v>Finance</v>
      </c>
      <c r="F120" t="s">
        <v>89</v>
      </c>
      <c r="G120" t="s">
        <v>510</v>
      </c>
      <c r="H120" t="str">
        <f t="shared" si="20"/>
        <v>Sunday</v>
      </c>
      <c r="I120" t="str">
        <f t="shared" si="21"/>
        <v>Sun</v>
      </c>
      <c r="J120" t="str">
        <f t="shared" si="22"/>
        <v>day</v>
      </c>
      <c r="K120" t="str">
        <f t="shared" si="23"/>
        <v>Dec</v>
      </c>
      <c r="L120">
        <f t="shared" si="24"/>
        <v>2021</v>
      </c>
      <c r="M120" t="s">
        <v>511</v>
      </c>
      <c r="N120">
        <f t="shared" si="25"/>
        <v>50</v>
      </c>
      <c r="O120">
        <f t="shared" si="26"/>
        <v>8</v>
      </c>
      <c r="P120">
        <f t="shared" si="27"/>
        <v>8</v>
      </c>
      <c r="Q120">
        <v>84326</v>
      </c>
      <c r="R120">
        <v>75350</v>
      </c>
      <c r="S120" t="str">
        <f t="shared" si="28"/>
        <v>high target</v>
      </c>
      <c r="T120" t="str">
        <f t="shared" si="29"/>
        <v>high target</v>
      </c>
      <c r="U120" t="s">
        <v>44</v>
      </c>
      <c r="V120">
        <f t="shared" si="30"/>
        <v>19</v>
      </c>
      <c r="W120" t="str">
        <f t="shared" si="31"/>
        <v>STRONG PRESENTATION</v>
      </c>
      <c r="X120" t="str">
        <f t="shared" si="32"/>
        <v>strong presentation</v>
      </c>
      <c r="Y120" t="str">
        <f t="shared" si="33"/>
        <v>Strong Presentation</v>
      </c>
      <c r="AA120" t="e">
        <f t="shared" si="34"/>
        <v>#VALUE!</v>
      </c>
      <c r="AB120" t="e">
        <f t="shared" si="35"/>
        <v>#VALUE!</v>
      </c>
    </row>
    <row r="121" spans="1:28">
      <c r="A121" t="s">
        <v>512</v>
      </c>
      <c r="B121" t="s">
        <v>513</v>
      </c>
      <c r="C121" t="s">
        <v>53</v>
      </c>
      <c r="D121" t="str">
        <f t="shared" si="18"/>
        <v>Aakash Shah(E1120)-HR</v>
      </c>
      <c r="E121" t="str">
        <f t="shared" si="19"/>
        <v>HR</v>
      </c>
      <c r="F121" t="s">
        <v>12</v>
      </c>
      <c r="G121" t="s">
        <v>514</v>
      </c>
      <c r="H121" t="str">
        <f t="shared" si="20"/>
        <v>Thursday</v>
      </c>
      <c r="I121" t="str">
        <f t="shared" si="21"/>
        <v>Thu</v>
      </c>
      <c r="J121" t="str">
        <f t="shared" si="22"/>
        <v>day</v>
      </c>
      <c r="K121" t="str">
        <f t="shared" si="23"/>
        <v>Sep</v>
      </c>
      <c r="L121">
        <f t="shared" si="24"/>
        <v>2023</v>
      </c>
      <c r="M121" t="s">
        <v>515</v>
      </c>
      <c r="N121">
        <f t="shared" si="25"/>
        <v>55</v>
      </c>
      <c r="O121">
        <f t="shared" si="26"/>
        <v>47</v>
      </c>
      <c r="P121">
        <f t="shared" si="27"/>
        <v>9</v>
      </c>
      <c r="Q121">
        <v>54745</v>
      </c>
      <c r="R121">
        <v>62198</v>
      </c>
      <c r="S121" t="str">
        <f t="shared" si="28"/>
        <v>high target</v>
      </c>
      <c r="T121" t="str">
        <f t="shared" si="29"/>
        <v>mid target</v>
      </c>
      <c r="U121" t="s">
        <v>56</v>
      </c>
      <c r="V121">
        <f t="shared" si="30"/>
        <v>16</v>
      </c>
      <c r="W121" t="str">
        <f t="shared" si="31"/>
        <v>HELPFUL ATTITUDE</v>
      </c>
      <c r="X121" t="str">
        <f t="shared" si="32"/>
        <v>helpful attitude</v>
      </c>
      <c r="Y121" t="str">
        <f t="shared" si="33"/>
        <v>Helpful Attitude</v>
      </c>
      <c r="AA121" t="e">
        <f t="shared" si="34"/>
        <v>#VALUE!</v>
      </c>
      <c r="AB121" t="e">
        <f t="shared" si="35"/>
        <v>#VALUE!</v>
      </c>
    </row>
    <row r="122" spans="1:28">
      <c r="A122" t="s">
        <v>516</v>
      </c>
      <c r="B122" t="s">
        <v>517</v>
      </c>
      <c r="C122" t="s">
        <v>53</v>
      </c>
      <c r="D122" t="str">
        <f t="shared" si="18"/>
        <v>Rahul Kumar(E1121)-HR</v>
      </c>
      <c r="E122" t="str">
        <f t="shared" si="19"/>
        <v>HR</v>
      </c>
      <c r="F122" t="s">
        <v>89</v>
      </c>
      <c r="G122" t="s">
        <v>518</v>
      </c>
      <c r="H122" t="str">
        <f t="shared" si="20"/>
        <v>Friday</v>
      </c>
      <c r="I122" t="str">
        <f t="shared" si="21"/>
        <v>Fri</v>
      </c>
      <c r="J122" t="str">
        <f t="shared" si="22"/>
        <v>day</v>
      </c>
      <c r="K122" t="str">
        <f t="shared" si="23"/>
        <v>Feb</v>
      </c>
      <c r="L122">
        <f t="shared" si="24"/>
        <v>2024</v>
      </c>
      <c r="M122" t="s">
        <v>519</v>
      </c>
      <c r="N122">
        <f t="shared" si="25"/>
        <v>50</v>
      </c>
      <c r="O122">
        <f t="shared" si="26"/>
        <v>5</v>
      </c>
      <c r="P122">
        <f t="shared" si="27"/>
        <v>9</v>
      </c>
      <c r="Q122">
        <v>51770</v>
      </c>
      <c r="R122">
        <v>65858</v>
      </c>
      <c r="S122" t="str">
        <f t="shared" si="28"/>
        <v>high target</v>
      </c>
      <c r="T122" t="str">
        <f t="shared" si="29"/>
        <v>mid target</v>
      </c>
      <c r="U122" t="s">
        <v>142</v>
      </c>
      <c r="V122">
        <f t="shared" si="30"/>
        <v>17</v>
      </c>
      <c r="W122" t="str">
        <f t="shared" si="31"/>
        <v>NEEDS IMPROVEMENT</v>
      </c>
      <c r="X122" t="str">
        <f t="shared" si="32"/>
        <v>needs improvement</v>
      </c>
      <c r="Y122" t="str">
        <f t="shared" si="33"/>
        <v>Needs Improvement</v>
      </c>
      <c r="AA122" t="e">
        <f t="shared" si="34"/>
        <v>#VALUE!</v>
      </c>
      <c r="AB122" t="e">
        <f t="shared" si="35"/>
        <v>#VALUE!</v>
      </c>
    </row>
    <row r="123" spans="1:28">
      <c r="A123" t="s">
        <v>520</v>
      </c>
      <c r="B123" t="s">
        <v>521</v>
      </c>
      <c r="C123" t="s">
        <v>26</v>
      </c>
      <c r="D123" t="str">
        <f t="shared" si="18"/>
        <v>Ritika Singh(E1122)-Marketing</v>
      </c>
      <c r="E123" t="str">
        <f t="shared" si="19"/>
        <v>Marketing</v>
      </c>
      <c r="F123" t="s">
        <v>34</v>
      </c>
      <c r="G123" t="s">
        <v>522</v>
      </c>
      <c r="H123" t="str">
        <f t="shared" si="20"/>
        <v>Wednesday</v>
      </c>
      <c r="I123" t="str">
        <f t="shared" si="21"/>
        <v>Wed</v>
      </c>
      <c r="J123" t="str">
        <f t="shared" si="22"/>
        <v>day</v>
      </c>
      <c r="K123" t="str">
        <f t="shared" si="23"/>
        <v>Oct</v>
      </c>
      <c r="L123">
        <f t="shared" si="24"/>
        <v>2024</v>
      </c>
      <c r="M123" t="s">
        <v>523</v>
      </c>
      <c r="N123">
        <f t="shared" si="25"/>
        <v>16</v>
      </c>
      <c r="O123">
        <f t="shared" si="26"/>
        <v>43</v>
      </c>
      <c r="P123">
        <f t="shared" si="27"/>
        <v>10</v>
      </c>
      <c r="Q123">
        <v>88279</v>
      </c>
      <c r="R123">
        <v>78309</v>
      </c>
      <c r="S123" t="str">
        <f t="shared" si="28"/>
        <v>high target</v>
      </c>
      <c r="T123" t="str">
        <f t="shared" si="29"/>
        <v>high target</v>
      </c>
      <c r="U123" t="s">
        <v>213</v>
      </c>
      <c r="V123">
        <f t="shared" si="30"/>
        <v>17</v>
      </c>
      <c r="W123" t="str">
        <f t="shared" si="31"/>
        <v>POSITIVE ATTITUDE</v>
      </c>
      <c r="X123" t="str">
        <f t="shared" si="32"/>
        <v>positive attitude</v>
      </c>
      <c r="Y123" t="str">
        <f t="shared" si="33"/>
        <v>Positive Attitude</v>
      </c>
      <c r="AA123" t="e">
        <f t="shared" si="34"/>
        <v>#VALUE!</v>
      </c>
      <c r="AB123" t="e">
        <f t="shared" si="35"/>
        <v>#VALUE!</v>
      </c>
    </row>
    <row r="124" spans="1:28">
      <c r="A124" t="s">
        <v>524</v>
      </c>
      <c r="B124" t="s">
        <v>59</v>
      </c>
      <c r="C124" t="s">
        <v>11</v>
      </c>
      <c r="D124" t="str">
        <f t="shared" si="18"/>
        <v>Yash Reddy(E1123)-Sales</v>
      </c>
      <c r="E124" t="str">
        <f t="shared" si="19"/>
        <v>Sales</v>
      </c>
      <c r="F124" t="s">
        <v>27</v>
      </c>
      <c r="G124" t="s">
        <v>525</v>
      </c>
      <c r="H124" t="str">
        <f t="shared" si="20"/>
        <v>Thursday</v>
      </c>
      <c r="I124" t="str">
        <f t="shared" si="21"/>
        <v>Thu</v>
      </c>
      <c r="J124" t="str">
        <f t="shared" si="22"/>
        <v>day</v>
      </c>
      <c r="K124" t="str">
        <f t="shared" si="23"/>
        <v>Aug</v>
      </c>
      <c r="L124">
        <f t="shared" si="24"/>
        <v>2023</v>
      </c>
      <c r="M124" t="s">
        <v>526</v>
      </c>
      <c r="N124">
        <f t="shared" si="25"/>
        <v>56</v>
      </c>
      <c r="O124">
        <f t="shared" si="26"/>
        <v>39</v>
      </c>
      <c r="P124">
        <f t="shared" si="27"/>
        <v>8</v>
      </c>
      <c r="Q124">
        <v>83288</v>
      </c>
      <c r="R124">
        <v>76792</v>
      </c>
      <c r="S124" t="str">
        <f t="shared" si="28"/>
        <v>high target</v>
      </c>
      <c r="T124" t="str">
        <f t="shared" si="29"/>
        <v>high target</v>
      </c>
      <c r="U124" t="s">
        <v>487</v>
      </c>
      <c r="V124">
        <f t="shared" si="30"/>
        <v>13</v>
      </c>
      <c r="W124" t="str">
        <f t="shared" si="31"/>
        <v>GREAT SUPPORT</v>
      </c>
      <c r="X124" t="str">
        <f t="shared" si="32"/>
        <v>great support</v>
      </c>
      <c r="Y124" t="str">
        <f t="shared" si="33"/>
        <v>Great Support</v>
      </c>
      <c r="AA124" t="e">
        <f t="shared" si="34"/>
        <v>#VALUE!</v>
      </c>
      <c r="AB124" t="e">
        <f t="shared" si="35"/>
        <v>#VALUE!</v>
      </c>
    </row>
    <row r="125" spans="1:28">
      <c r="A125" t="s">
        <v>527</v>
      </c>
      <c r="B125" t="s">
        <v>528</v>
      </c>
      <c r="C125" t="s">
        <v>11</v>
      </c>
      <c r="D125" t="str">
        <f t="shared" si="18"/>
        <v>Shreya Nair(E1124)-Sales</v>
      </c>
      <c r="E125" t="str">
        <f t="shared" si="19"/>
        <v>Sales</v>
      </c>
      <c r="F125" t="s">
        <v>79</v>
      </c>
      <c r="G125" t="s">
        <v>529</v>
      </c>
      <c r="H125" t="str">
        <f t="shared" si="20"/>
        <v>Friday</v>
      </c>
      <c r="I125" t="str">
        <f t="shared" si="21"/>
        <v>Fri</v>
      </c>
      <c r="J125" t="str">
        <f t="shared" si="22"/>
        <v>day</v>
      </c>
      <c r="K125" t="str">
        <f t="shared" si="23"/>
        <v>Dec</v>
      </c>
      <c r="L125">
        <f t="shared" si="24"/>
        <v>2024</v>
      </c>
      <c r="M125" t="s">
        <v>530</v>
      </c>
      <c r="N125">
        <f t="shared" si="25"/>
        <v>26</v>
      </c>
      <c r="O125">
        <f t="shared" si="26"/>
        <v>41</v>
      </c>
      <c r="P125">
        <f t="shared" si="27"/>
        <v>9</v>
      </c>
      <c r="Q125">
        <v>41806</v>
      </c>
      <c r="R125">
        <v>47646</v>
      </c>
      <c r="S125" t="str">
        <f t="shared" si="28"/>
        <v>low target</v>
      </c>
      <c r="T125" t="str">
        <f t="shared" si="29"/>
        <v>mid target</v>
      </c>
      <c r="U125" t="s">
        <v>159</v>
      </c>
      <c r="V125">
        <f t="shared" si="30"/>
        <v>17</v>
      </c>
      <c r="W125" t="str">
        <f t="shared" si="31"/>
        <v>EXCELLENT SERVICE</v>
      </c>
      <c r="X125" t="str">
        <f t="shared" si="32"/>
        <v>excellent service</v>
      </c>
      <c r="Y125" t="str">
        <f t="shared" si="33"/>
        <v>Excellent Service</v>
      </c>
      <c r="AA125" t="e">
        <f t="shared" si="34"/>
        <v>#VALUE!</v>
      </c>
      <c r="AB125" t="e">
        <f t="shared" si="35"/>
        <v>#VALUE!</v>
      </c>
    </row>
    <row r="126" spans="1:28">
      <c r="A126" t="s">
        <v>531</v>
      </c>
      <c r="B126" t="s">
        <v>532</v>
      </c>
      <c r="C126" t="s">
        <v>26</v>
      </c>
      <c r="D126" t="str">
        <f t="shared" si="18"/>
        <v>Priya Gupta(E1125)-Marketing</v>
      </c>
      <c r="E126" t="str">
        <f t="shared" si="19"/>
        <v>Marketing</v>
      </c>
      <c r="F126" t="s">
        <v>19</v>
      </c>
      <c r="G126" t="s">
        <v>533</v>
      </c>
      <c r="H126" t="str">
        <f t="shared" si="20"/>
        <v>Monday</v>
      </c>
      <c r="I126" t="str">
        <f t="shared" si="21"/>
        <v>Mon</v>
      </c>
      <c r="J126" t="str">
        <f t="shared" si="22"/>
        <v>day</v>
      </c>
      <c r="K126" t="str">
        <f t="shared" si="23"/>
        <v>Jul</v>
      </c>
      <c r="L126">
        <f t="shared" si="24"/>
        <v>2021</v>
      </c>
      <c r="M126" t="s">
        <v>534</v>
      </c>
      <c r="N126">
        <f t="shared" si="25"/>
        <v>34</v>
      </c>
      <c r="O126">
        <f t="shared" si="26"/>
        <v>56</v>
      </c>
      <c r="P126">
        <f t="shared" si="27"/>
        <v>8</v>
      </c>
      <c r="Q126">
        <v>59360</v>
      </c>
      <c r="R126">
        <v>48890</v>
      </c>
      <c r="S126" t="str">
        <f t="shared" si="28"/>
        <v>low target</v>
      </c>
      <c r="T126" t="str">
        <f t="shared" si="29"/>
        <v>mid target</v>
      </c>
      <c r="U126" t="s">
        <v>56</v>
      </c>
      <c r="V126">
        <f t="shared" si="30"/>
        <v>16</v>
      </c>
      <c r="W126" t="str">
        <f t="shared" si="31"/>
        <v>HELPFUL ATTITUDE</v>
      </c>
      <c r="X126" t="str">
        <f t="shared" si="32"/>
        <v>helpful attitude</v>
      </c>
      <c r="Y126" t="str">
        <f t="shared" si="33"/>
        <v>Helpful Attitude</v>
      </c>
      <c r="AA126" t="e">
        <f t="shared" si="34"/>
        <v>#VALUE!</v>
      </c>
      <c r="AB126" t="e">
        <f t="shared" si="35"/>
        <v>#VALUE!</v>
      </c>
    </row>
    <row r="127" spans="1:28">
      <c r="A127" t="s">
        <v>535</v>
      </c>
      <c r="B127" t="s">
        <v>536</v>
      </c>
      <c r="C127" t="s">
        <v>26</v>
      </c>
      <c r="D127" t="str">
        <f t="shared" si="18"/>
        <v>Meera Goyal(E1126)-Marketing</v>
      </c>
      <c r="E127" t="str">
        <f t="shared" si="19"/>
        <v>Marketing</v>
      </c>
      <c r="F127" t="s">
        <v>65</v>
      </c>
      <c r="G127" t="s">
        <v>537</v>
      </c>
      <c r="H127" t="str">
        <f t="shared" si="20"/>
        <v>Sunday</v>
      </c>
      <c r="I127" t="str">
        <f t="shared" si="21"/>
        <v>Sun</v>
      </c>
      <c r="J127" t="str">
        <f t="shared" si="22"/>
        <v>day</v>
      </c>
      <c r="K127" t="str">
        <f t="shared" si="23"/>
        <v>Apr</v>
      </c>
      <c r="L127">
        <f t="shared" si="24"/>
        <v>2023</v>
      </c>
      <c r="M127" t="s">
        <v>538</v>
      </c>
      <c r="N127">
        <f t="shared" si="25"/>
        <v>53</v>
      </c>
      <c r="O127">
        <f t="shared" si="26"/>
        <v>6</v>
      </c>
      <c r="P127">
        <f t="shared" si="27"/>
        <v>10</v>
      </c>
      <c r="Q127">
        <v>83815</v>
      </c>
      <c r="R127">
        <v>72069</v>
      </c>
      <c r="S127" t="str">
        <f t="shared" si="28"/>
        <v>high target</v>
      </c>
      <c r="T127" t="str">
        <f t="shared" si="29"/>
        <v>high target</v>
      </c>
      <c r="U127" t="s">
        <v>142</v>
      </c>
      <c r="V127">
        <f t="shared" si="30"/>
        <v>17</v>
      </c>
      <c r="W127" t="str">
        <f t="shared" si="31"/>
        <v>NEEDS IMPROVEMENT</v>
      </c>
      <c r="X127" t="str">
        <f t="shared" si="32"/>
        <v>needs improvement</v>
      </c>
      <c r="Y127" t="str">
        <f t="shared" si="33"/>
        <v>Needs Improvement</v>
      </c>
      <c r="AA127" t="e">
        <f t="shared" si="34"/>
        <v>#VALUE!</v>
      </c>
      <c r="AB127" t="e">
        <f t="shared" si="35"/>
        <v>#VALUE!</v>
      </c>
    </row>
    <row r="128" spans="1:28">
      <c r="A128" t="s">
        <v>539</v>
      </c>
      <c r="B128" t="s">
        <v>540</v>
      </c>
      <c r="C128" t="s">
        <v>53</v>
      </c>
      <c r="D128" t="str">
        <f t="shared" si="18"/>
        <v>Priya Reddy(E1127)-HR</v>
      </c>
      <c r="E128" t="str">
        <f t="shared" si="19"/>
        <v>HR</v>
      </c>
      <c r="F128" t="s">
        <v>79</v>
      </c>
      <c r="G128" t="s">
        <v>541</v>
      </c>
      <c r="H128" t="str">
        <f t="shared" si="20"/>
        <v>Friday</v>
      </c>
      <c r="I128" t="str">
        <f t="shared" si="21"/>
        <v>Fri</v>
      </c>
      <c r="J128" t="str">
        <f t="shared" si="22"/>
        <v>day</v>
      </c>
      <c r="K128" t="str">
        <f t="shared" si="23"/>
        <v>Jun</v>
      </c>
      <c r="L128">
        <f t="shared" si="24"/>
        <v>2023</v>
      </c>
      <c r="M128" t="s">
        <v>542</v>
      </c>
      <c r="N128">
        <f t="shared" si="25"/>
        <v>23</v>
      </c>
      <c r="O128">
        <f t="shared" si="26"/>
        <v>54</v>
      </c>
      <c r="P128">
        <f t="shared" si="27"/>
        <v>8</v>
      </c>
      <c r="Q128">
        <v>55584</v>
      </c>
      <c r="R128">
        <v>46511</v>
      </c>
      <c r="S128" t="str">
        <f t="shared" si="28"/>
        <v>low target</v>
      </c>
      <c r="T128" t="str">
        <f t="shared" si="29"/>
        <v>mid target</v>
      </c>
      <c r="U128" t="s">
        <v>44</v>
      </c>
      <c r="V128">
        <f t="shared" si="30"/>
        <v>19</v>
      </c>
      <c r="W128" t="str">
        <f t="shared" si="31"/>
        <v>STRONG PRESENTATION</v>
      </c>
      <c r="X128" t="str">
        <f t="shared" si="32"/>
        <v>strong presentation</v>
      </c>
      <c r="Y128" t="str">
        <f t="shared" si="33"/>
        <v>Strong Presentation</v>
      </c>
      <c r="AA128" t="e">
        <f t="shared" si="34"/>
        <v>#VALUE!</v>
      </c>
      <c r="AB128" t="e">
        <f t="shared" si="35"/>
        <v>#VALUE!</v>
      </c>
    </row>
    <row r="129" spans="1:28">
      <c r="A129" t="s">
        <v>543</v>
      </c>
      <c r="B129" t="s">
        <v>544</v>
      </c>
      <c r="C129" t="s">
        <v>11</v>
      </c>
      <c r="D129" t="str">
        <f t="shared" si="18"/>
        <v>Aditya Reddy(E1128)-Sales</v>
      </c>
      <c r="E129" t="str">
        <f t="shared" si="19"/>
        <v>Sales</v>
      </c>
      <c r="F129" t="s">
        <v>89</v>
      </c>
      <c r="G129" t="s">
        <v>442</v>
      </c>
      <c r="H129" t="str">
        <f t="shared" si="20"/>
        <v>Wednesday</v>
      </c>
      <c r="I129" t="str">
        <f t="shared" si="21"/>
        <v>Wed</v>
      </c>
      <c r="J129" t="str">
        <f t="shared" si="22"/>
        <v>day</v>
      </c>
      <c r="K129" t="str">
        <f t="shared" si="23"/>
        <v>Jul</v>
      </c>
      <c r="L129">
        <f t="shared" si="24"/>
        <v>2022</v>
      </c>
      <c r="M129" t="s">
        <v>545</v>
      </c>
      <c r="N129">
        <f t="shared" si="25"/>
        <v>54</v>
      </c>
      <c r="O129">
        <f t="shared" si="26"/>
        <v>7</v>
      </c>
      <c r="P129">
        <f t="shared" si="27"/>
        <v>8</v>
      </c>
      <c r="Q129">
        <v>108814</v>
      </c>
      <c r="R129">
        <v>94014</v>
      </c>
      <c r="S129" t="str">
        <f t="shared" si="28"/>
        <v>high target</v>
      </c>
      <c r="T129" t="str">
        <f t="shared" si="29"/>
        <v>high target</v>
      </c>
      <c r="U129" t="s">
        <v>37</v>
      </c>
      <c r="V129">
        <f t="shared" si="30"/>
        <v>18</v>
      </c>
      <c r="W129" t="str">
        <f t="shared" si="31"/>
        <v>GOOD COMMUNICATION</v>
      </c>
      <c r="X129" t="str">
        <f t="shared" si="32"/>
        <v>good communication</v>
      </c>
      <c r="Y129" t="str">
        <f t="shared" si="33"/>
        <v>Good Communication</v>
      </c>
      <c r="AA129" t="e">
        <f t="shared" si="34"/>
        <v>#VALUE!</v>
      </c>
      <c r="AB129" t="e">
        <f t="shared" si="35"/>
        <v>#VALUE!</v>
      </c>
    </row>
    <row r="130" spans="1:28">
      <c r="A130" t="s">
        <v>546</v>
      </c>
      <c r="B130" t="s">
        <v>547</v>
      </c>
      <c r="C130" t="s">
        <v>11</v>
      </c>
      <c r="D130" t="str">
        <f t="shared" si="18"/>
        <v>Nidhi Mehta(E1129)-Sales</v>
      </c>
      <c r="E130" t="str">
        <f t="shared" si="19"/>
        <v>Sales</v>
      </c>
      <c r="F130" t="s">
        <v>72</v>
      </c>
      <c r="G130" t="s">
        <v>548</v>
      </c>
      <c r="H130" t="str">
        <f t="shared" si="20"/>
        <v>Tuesday</v>
      </c>
      <c r="I130" t="str">
        <f t="shared" si="21"/>
        <v>Tue</v>
      </c>
      <c r="J130" t="str">
        <f t="shared" si="22"/>
        <v>day</v>
      </c>
      <c r="K130" t="str">
        <f t="shared" si="23"/>
        <v>Nov</v>
      </c>
      <c r="L130">
        <f t="shared" si="24"/>
        <v>2022</v>
      </c>
      <c r="M130" t="s">
        <v>511</v>
      </c>
      <c r="N130">
        <f t="shared" si="25"/>
        <v>50</v>
      </c>
      <c r="O130">
        <f t="shared" si="26"/>
        <v>8</v>
      </c>
      <c r="P130">
        <f t="shared" si="27"/>
        <v>8</v>
      </c>
      <c r="Q130">
        <v>75448</v>
      </c>
      <c r="R130">
        <v>77000</v>
      </c>
      <c r="S130" t="str">
        <f t="shared" si="28"/>
        <v>high target</v>
      </c>
      <c r="T130" t="str">
        <f t="shared" si="29"/>
        <v>high target</v>
      </c>
      <c r="U130" t="s">
        <v>37</v>
      </c>
      <c r="V130">
        <f t="shared" si="30"/>
        <v>18</v>
      </c>
      <c r="W130" t="str">
        <f t="shared" si="31"/>
        <v>GOOD COMMUNICATION</v>
      </c>
      <c r="X130" t="str">
        <f t="shared" si="32"/>
        <v>good communication</v>
      </c>
      <c r="Y130" t="str">
        <f t="shared" si="33"/>
        <v>Good Communication</v>
      </c>
      <c r="AA130" t="e">
        <f t="shared" si="34"/>
        <v>#VALUE!</v>
      </c>
      <c r="AB130" t="e">
        <f t="shared" si="35"/>
        <v>#VALUE!</v>
      </c>
    </row>
    <row r="131" spans="1:28">
      <c r="A131" t="s">
        <v>549</v>
      </c>
      <c r="B131" t="s">
        <v>550</v>
      </c>
      <c r="C131" t="s">
        <v>53</v>
      </c>
      <c r="D131" t="str">
        <f t="shared" ref="D131:D194" si="36">_xlfn.CONCAT(B131,"(",A131,")","-",C131)</f>
        <v>Varun Goyal(E1130)-HR</v>
      </c>
      <c r="E131" t="str">
        <f t="shared" ref="E131:E194" si="37">RIGHT(D131,LEN(D131)-FIND("-",D131))</f>
        <v>HR</v>
      </c>
      <c r="F131" t="s">
        <v>27</v>
      </c>
      <c r="G131" t="s">
        <v>551</v>
      </c>
      <c r="H131" t="str">
        <f t="shared" ref="H131:H194" si="38">TEXT(G131,"dddd")</f>
        <v>Saturday</v>
      </c>
      <c r="I131" t="str">
        <f t="shared" ref="I131:I194" si="39">LEFT(H131,3)</f>
        <v>Sat</v>
      </c>
      <c r="J131" t="str">
        <f t="shared" ref="J131:J194" si="40">RIGHT(H131,3)</f>
        <v>day</v>
      </c>
      <c r="K131" t="str">
        <f t="shared" ref="K131:K194" si="41">TEXT(G131,"mmm")</f>
        <v>Apr</v>
      </c>
      <c r="L131">
        <f t="shared" ref="L131:L194" si="42">YEAR(G131)</f>
        <v>2022</v>
      </c>
      <c r="M131" t="s">
        <v>552</v>
      </c>
      <c r="N131">
        <f t="shared" ref="N131:N194" si="43">SECOND(M131)</f>
        <v>9</v>
      </c>
      <c r="O131">
        <f t="shared" ref="O131:O194" si="44">MINUTE(M131)</f>
        <v>49</v>
      </c>
      <c r="P131">
        <f t="shared" ref="P131:P194" si="45">HOUR(M131)</f>
        <v>9</v>
      </c>
      <c r="Q131">
        <v>76869</v>
      </c>
      <c r="R131">
        <v>91684</v>
      </c>
      <c r="S131" t="str">
        <f t="shared" ref="S131:S194" si="46">IF(R131&gt;50000,"high target","low target")</f>
        <v>high target</v>
      </c>
      <c r="T131" t="str">
        <f t="shared" ref="T131:T194" si="47">_xlfn.IFS(R131&lt;40000,"low target",R131&lt;70000,"mid target",R131&gt;70000,"high target")</f>
        <v>high target</v>
      </c>
      <c r="U131" t="s">
        <v>142</v>
      </c>
      <c r="V131">
        <f t="shared" ref="V131:V194" si="48">LEN(U131)</f>
        <v>17</v>
      </c>
      <c r="W131" t="str">
        <f t="shared" ref="W131:W194" si="49">UPPER(U131)</f>
        <v>NEEDS IMPROVEMENT</v>
      </c>
      <c r="X131" t="str">
        <f t="shared" ref="X131:X194" si="50">LOWER(U131)</f>
        <v>needs improvement</v>
      </c>
      <c r="Y131" t="str">
        <f t="shared" ref="Y131:Y194" si="51">PROPER(U131)</f>
        <v>Needs Improvement</v>
      </c>
      <c r="AA131" t="e">
        <f t="shared" ref="AA131:AA194" si="52">LEFT(Z131,FIND("-",Z131,1)-1)</f>
        <v>#VALUE!</v>
      </c>
      <c r="AB131" t="e">
        <f t="shared" ref="AB131:AB194" si="53">RIGHT(Z131,LEN(Z131)-FIND("-",Z131))</f>
        <v>#VALUE!</v>
      </c>
    </row>
    <row r="132" spans="1:28">
      <c r="A132" t="s">
        <v>553</v>
      </c>
      <c r="B132" t="s">
        <v>554</v>
      </c>
      <c r="C132" t="s">
        <v>53</v>
      </c>
      <c r="D132" t="str">
        <f t="shared" si="36"/>
        <v>Isha Kumar(E1131)-HR</v>
      </c>
      <c r="E132" t="str">
        <f t="shared" si="37"/>
        <v>HR</v>
      </c>
      <c r="F132" t="s">
        <v>12</v>
      </c>
      <c r="G132" t="s">
        <v>555</v>
      </c>
      <c r="H132" t="str">
        <f t="shared" si="38"/>
        <v>Friday</v>
      </c>
      <c r="I132" t="str">
        <f t="shared" si="39"/>
        <v>Fri</v>
      </c>
      <c r="J132" t="str">
        <f t="shared" si="40"/>
        <v>day</v>
      </c>
      <c r="K132" t="str">
        <f t="shared" si="41"/>
        <v>Dec</v>
      </c>
      <c r="L132">
        <f t="shared" si="42"/>
        <v>2021</v>
      </c>
      <c r="M132" t="s">
        <v>556</v>
      </c>
      <c r="N132">
        <f t="shared" si="43"/>
        <v>55</v>
      </c>
      <c r="O132">
        <f t="shared" si="44"/>
        <v>42</v>
      </c>
      <c r="P132">
        <f t="shared" si="45"/>
        <v>8</v>
      </c>
      <c r="Q132">
        <v>35326</v>
      </c>
      <c r="R132">
        <v>41689</v>
      </c>
      <c r="S132" t="str">
        <f t="shared" si="46"/>
        <v>low target</v>
      </c>
      <c r="T132" t="str">
        <f t="shared" si="47"/>
        <v>mid target</v>
      </c>
      <c r="U132" t="s">
        <v>159</v>
      </c>
      <c r="V132">
        <f t="shared" si="48"/>
        <v>17</v>
      </c>
      <c r="W132" t="str">
        <f t="shared" si="49"/>
        <v>EXCELLENT SERVICE</v>
      </c>
      <c r="X132" t="str">
        <f t="shared" si="50"/>
        <v>excellent service</v>
      </c>
      <c r="Y132" t="str">
        <f t="shared" si="51"/>
        <v>Excellent Service</v>
      </c>
      <c r="AA132" t="e">
        <f t="shared" si="52"/>
        <v>#VALUE!</v>
      </c>
      <c r="AB132" t="e">
        <f t="shared" si="53"/>
        <v>#VALUE!</v>
      </c>
    </row>
    <row r="133" spans="1:28">
      <c r="A133" t="s">
        <v>557</v>
      </c>
      <c r="B133" t="s">
        <v>558</v>
      </c>
      <c r="C133" t="s">
        <v>41</v>
      </c>
      <c r="D133" t="str">
        <f t="shared" si="36"/>
        <v>Meera Nair(E1132)-Finance</v>
      </c>
      <c r="E133" t="str">
        <f t="shared" si="37"/>
        <v>Finance</v>
      </c>
      <c r="F133" t="s">
        <v>72</v>
      </c>
      <c r="G133" t="s">
        <v>559</v>
      </c>
      <c r="H133" t="str">
        <f t="shared" si="38"/>
        <v>Thursday</v>
      </c>
      <c r="I133" t="str">
        <f t="shared" si="39"/>
        <v>Thu</v>
      </c>
      <c r="J133" t="str">
        <f t="shared" si="40"/>
        <v>day</v>
      </c>
      <c r="K133" t="str">
        <f t="shared" si="41"/>
        <v>Dec</v>
      </c>
      <c r="L133">
        <f t="shared" si="42"/>
        <v>2021</v>
      </c>
      <c r="M133" t="s">
        <v>560</v>
      </c>
      <c r="N133">
        <f t="shared" si="43"/>
        <v>8</v>
      </c>
      <c r="O133">
        <f t="shared" si="44"/>
        <v>3</v>
      </c>
      <c r="P133">
        <f t="shared" si="45"/>
        <v>9</v>
      </c>
      <c r="Q133">
        <v>101197</v>
      </c>
      <c r="R133">
        <v>88609</v>
      </c>
      <c r="S133" t="str">
        <f t="shared" si="46"/>
        <v>high target</v>
      </c>
      <c r="T133" t="str">
        <f t="shared" si="47"/>
        <v>high target</v>
      </c>
      <c r="U133" t="s">
        <v>44</v>
      </c>
      <c r="V133">
        <f t="shared" si="48"/>
        <v>19</v>
      </c>
      <c r="W133" t="str">
        <f t="shared" si="49"/>
        <v>STRONG PRESENTATION</v>
      </c>
      <c r="X133" t="str">
        <f t="shared" si="50"/>
        <v>strong presentation</v>
      </c>
      <c r="Y133" t="str">
        <f t="shared" si="51"/>
        <v>Strong Presentation</v>
      </c>
      <c r="AA133" t="e">
        <f t="shared" si="52"/>
        <v>#VALUE!</v>
      </c>
      <c r="AB133" t="e">
        <f t="shared" si="53"/>
        <v>#VALUE!</v>
      </c>
    </row>
    <row r="134" spans="1:28">
      <c r="A134" t="s">
        <v>561</v>
      </c>
      <c r="B134" t="s">
        <v>562</v>
      </c>
      <c r="C134" t="s">
        <v>26</v>
      </c>
      <c r="D134" t="str">
        <f t="shared" si="36"/>
        <v>Neha Verma(E1133)-Marketing</v>
      </c>
      <c r="E134" t="str">
        <f t="shared" si="37"/>
        <v>Marketing</v>
      </c>
      <c r="F134" t="s">
        <v>79</v>
      </c>
      <c r="G134" t="s">
        <v>563</v>
      </c>
      <c r="H134" t="str">
        <f t="shared" si="38"/>
        <v>Thursday</v>
      </c>
      <c r="I134" t="str">
        <f t="shared" si="39"/>
        <v>Thu</v>
      </c>
      <c r="J134" t="str">
        <f t="shared" si="40"/>
        <v>day</v>
      </c>
      <c r="K134" t="str">
        <f t="shared" si="41"/>
        <v>Jan</v>
      </c>
      <c r="L134">
        <f t="shared" si="42"/>
        <v>2023</v>
      </c>
      <c r="M134" t="s">
        <v>564</v>
      </c>
      <c r="N134">
        <f t="shared" si="43"/>
        <v>6</v>
      </c>
      <c r="O134">
        <f t="shared" si="44"/>
        <v>37</v>
      </c>
      <c r="P134">
        <f t="shared" si="45"/>
        <v>10</v>
      </c>
      <c r="Q134">
        <v>87641</v>
      </c>
      <c r="R134">
        <v>69622</v>
      </c>
      <c r="S134" t="str">
        <f t="shared" si="46"/>
        <v>high target</v>
      </c>
      <c r="T134" t="str">
        <f t="shared" si="47"/>
        <v>mid target</v>
      </c>
      <c r="U134" t="s">
        <v>75</v>
      </c>
      <c r="V134">
        <f t="shared" si="48"/>
        <v>16</v>
      </c>
      <c r="W134" t="str">
        <f t="shared" si="49"/>
        <v>ACCURATE REPORTS</v>
      </c>
      <c r="X134" t="str">
        <f t="shared" si="50"/>
        <v>accurate reports</v>
      </c>
      <c r="Y134" t="str">
        <f t="shared" si="51"/>
        <v>Accurate Reports</v>
      </c>
      <c r="AA134" t="e">
        <f t="shared" si="52"/>
        <v>#VALUE!</v>
      </c>
      <c r="AB134" t="e">
        <f t="shared" si="53"/>
        <v>#VALUE!</v>
      </c>
    </row>
    <row r="135" spans="1:28">
      <c r="A135" t="s">
        <v>565</v>
      </c>
      <c r="B135" t="s">
        <v>566</v>
      </c>
      <c r="C135" t="s">
        <v>41</v>
      </c>
      <c r="D135" t="str">
        <f t="shared" si="36"/>
        <v>Shreya Patel(E1134)-Finance</v>
      </c>
      <c r="E135" t="str">
        <f t="shared" si="37"/>
        <v>Finance</v>
      </c>
      <c r="F135" t="s">
        <v>79</v>
      </c>
      <c r="G135" t="s">
        <v>567</v>
      </c>
      <c r="H135" t="str">
        <f t="shared" si="38"/>
        <v>Saturday</v>
      </c>
      <c r="I135" t="str">
        <f t="shared" si="39"/>
        <v>Sat</v>
      </c>
      <c r="J135" t="str">
        <f t="shared" si="40"/>
        <v>day</v>
      </c>
      <c r="K135" t="str">
        <f t="shared" si="41"/>
        <v>Aug</v>
      </c>
      <c r="L135">
        <f t="shared" si="42"/>
        <v>2024</v>
      </c>
      <c r="M135" t="s">
        <v>568</v>
      </c>
      <c r="N135">
        <f t="shared" si="43"/>
        <v>30</v>
      </c>
      <c r="O135">
        <f t="shared" si="44"/>
        <v>3</v>
      </c>
      <c r="P135">
        <f t="shared" si="45"/>
        <v>8</v>
      </c>
      <c r="Q135">
        <v>106848</v>
      </c>
      <c r="R135">
        <v>95528</v>
      </c>
      <c r="S135" t="str">
        <f t="shared" si="46"/>
        <v>high target</v>
      </c>
      <c r="T135" t="str">
        <f t="shared" si="47"/>
        <v>high target</v>
      </c>
      <c r="U135" t="s">
        <v>168</v>
      </c>
      <c r="V135">
        <f t="shared" si="48"/>
        <v>17</v>
      </c>
      <c r="W135" t="str">
        <f t="shared" si="49"/>
        <v>DETAILED ANALYSIS</v>
      </c>
      <c r="X135" t="str">
        <f t="shared" si="50"/>
        <v>detailed analysis</v>
      </c>
      <c r="Y135" t="str">
        <f t="shared" si="51"/>
        <v>Detailed Analysis</v>
      </c>
      <c r="AA135" t="e">
        <f t="shared" si="52"/>
        <v>#VALUE!</v>
      </c>
      <c r="AB135" t="e">
        <f t="shared" si="53"/>
        <v>#VALUE!</v>
      </c>
    </row>
    <row r="136" spans="1:28">
      <c r="A136" t="s">
        <v>569</v>
      </c>
      <c r="B136" t="s">
        <v>570</v>
      </c>
      <c r="C136" t="s">
        <v>26</v>
      </c>
      <c r="D136" t="str">
        <f t="shared" si="36"/>
        <v>Nidhi Singh(E1135)-Marketing</v>
      </c>
      <c r="E136" t="str">
        <f t="shared" si="37"/>
        <v>Marketing</v>
      </c>
      <c r="F136" t="s">
        <v>79</v>
      </c>
      <c r="G136" t="s">
        <v>571</v>
      </c>
      <c r="H136" t="str">
        <f t="shared" si="38"/>
        <v>Monday</v>
      </c>
      <c r="I136" t="str">
        <f t="shared" si="39"/>
        <v>Mon</v>
      </c>
      <c r="J136" t="str">
        <f t="shared" si="40"/>
        <v>day</v>
      </c>
      <c r="K136" t="str">
        <f t="shared" si="41"/>
        <v>May</v>
      </c>
      <c r="L136">
        <f t="shared" si="42"/>
        <v>2021</v>
      </c>
      <c r="M136" t="s">
        <v>572</v>
      </c>
      <c r="N136">
        <f t="shared" si="43"/>
        <v>38</v>
      </c>
      <c r="O136">
        <f t="shared" si="44"/>
        <v>20</v>
      </c>
      <c r="P136">
        <f t="shared" si="45"/>
        <v>8</v>
      </c>
      <c r="Q136">
        <v>39025</v>
      </c>
      <c r="R136">
        <v>49721</v>
      </c>
      <c r="S136" t="str">
        <f t="shared" si="46"/>
        <v>low target</v>
      </c>
      <c r="T136" t="str">
        <f t="shared" si="47"/>
        <v>mid target</v>
      </c>
      <c r="U136" t="s">
        <v>112</v>
      </c>
      <c r="V136">
        <f t="shared" si="48"/>
        <v>14</v>
      </c>
      <c r="W136" t="str">
        <f t="shared" si="49"/>
        <v>QUICK RESPONSE</v>
      </c>
      <c r="X136" t="str">
        <f t="shared" si="50"/>
        <v>quick response</v>
      </c>
      <c r="Y136" t="str">
        <f t="shared" si="51"/>
        <v>Quick Response</v>
      </c>
      <c r="AA136" t="e">
        <f t="shared" si="52"/>
        <v>#VALUE!</v>
      </c>
      <c r="AB136" t="e">
        <f t="shared" si="53"/>
        <v>#VALUE!</v>
      </c>
    </row>
    <row r="137" spans="1:28">
      <c r="A137" t="s">
        <v>573</v>
      </c>
      <c r="B137" t="s">
        <v>574</v>
      </c>
      <c r="C137" t="s">
        <v>41</v>
      </c>
      <c r="D137" t="str">
        <f t="shared" si="36"/>
        <v>Vikram Jain(E1136)-Finance</v>
      </c>
      <c r="E137" t="str">
        <f t="shared" si="37"/>
        <v>Finance</v>
      </c>
      <c r="F137" t="s">
        <v>89</v>
      </c>
      <c r="G137" t="s">
        <v>575</v>
      </c>
      <c r="H137" t="str">
        <f t="shared" si="38"/>
        <v>Wednesday</v>
      </c>
      <c r="I137" t="str">
        <f t="shared" si="39"/>
        <v>Wed</v>
      </c>
      <c r="J137" t="str">
        <f t="shared" si="40"/>
        <v>day</v>
      </c>
      <c r="K137" t="str">
        <f t="shared" si="41"/>
        <v>May</v>
      </c>
      <c r="L137">
        <f t="shared" si="42"/>
        <v>2024</v>
      </c>
      <c r="M137" t="s">
        <v>576</v>
      </c>
      <c r="N137">
        <f t="shared" si="43"/>
        <v>29</v>
      </c>
      <c r="O137">
        <f t="shared" si="44"/>
        <v>18</v>
      </c>
      <c r="P137">
        <f t="shared" si="45"/>
        <v>10</v>
      </c>
      <c r="Q137">
        <v>86324</v>
      </c>
      <c r="R137">
        <v>73131</v>
      </c>
      <c r="S137" t="str">
        <f t="shared" si="46"/>
        <v>high target</v>
      </c>
      <c r="T137" t="str">
        <f t="shared" si="47"/>
        <v>high target</v>
      </c>
      <c r="U137" t="s">
        <v>37</v>
      </c>
      <c r="V137">
        <f t="shared" si="48"/>
        <v>18</v>
      </c>
      <c r="W137" t="str">
        <f t="shared" si="49"/>
        <v>GOOD COMMUNICATION</v>
      </c>
      <c r="X137" t="str">
        <f t="shared" si="50"/>
        <v>good communication</v>
      </c>
      <c r="Y137" t="str">
        <f t="shared" si="51"/>
        <v>Good Communication</v>
      </c>
      <c r="AA137" t="e">
        <f t="shared" si="52"/>
        <v>#VALUE!</v>
      </c>
      <c r="AB137" t="e">
        <f t="shared" si="53"/>
        <v>#VALUE!</v>
      </c>
    </row>
    <row r="138" spans="1:28">
      <c r="A138" t="s">
        <v>577</v>
      </c>
      <c r="B138" t="s">
        <v>578</v>
      </c>
      <c r="C138" t="s">
        <v>53</v>
      </c>
      <c r="D138" t="str">
        <f t="shared" si="36"/>
        <v>Tanya Singh(E1137)-HR</v>
      </c>
      <c r="E138" t="str">
        <f t="shared" si="37"/>
        <v>HR</v>
      </c>
      <c r="F138" t="s">
        <v>89</v>
      </c>
      <c r="G138" t="s">
        <v>579</v>
      </c>
      <c r="H138" t="str">
        <f t="shared" si="38"/>
        <v>Friday</v>
      </c>
      <c r="I138" t="str">
        <f t="shared" si="39"/>
        <v>Fri</v>
      </c>
      <c r="J138" t="str">
        <f t="shared" si="40"/>
        <v>day</v>
      </c>
      <c r="K138" t="str">
        <f t="shared" si="41"/>
        <v>Jul</v>
      </c>
      <c r="L138">
        <f t="shared" si="42"/>
        <v>2023</v>
      </c>
      <c r="M138" t="s">
        <v>580</v>
      </c>
      <c r="N138">
        <f t="shared" si="43"/>
        <v>21</v>
      </c>
      <c r="O138">
        <f t="shared" si="44"/>
        <v>26</v>
      </c>
      <c r="P138">
        <f t="shared" si="45"/>
        <v>8</v>
      </c>
      <c r="Q138">
        <v>108945</v>
      </c>
      <c r="R138">
        <v>94225</v>
      </c>
      <c r="S138" t="str">
        <f t="shared" si="46"/>
        <v>high target</v>
      </c>
      <c r="T138" t="str">
        <f t="shared" si="47"/>
        <v>high target</v>
      </c>
      <c r="U138" t="s">
        <v>168</v>
      </c>
      <c r="V138">
        <f t="shared" si="48"/>
        <v>17</v>
      </c>
      <c r="W138" t="str">
        <f t="shared" si="49"/>
        <v>DETAILED ANALYSIS</v>
      </c>
      <c r="X138" t="str">
        <f t="shared" si="50"/>
        <v>detailed analysis</v>
      </c>
      <c r="Y138" t="str">
        <f t="shared" si="51"/>
        <v>Detailed Analysis</v>
      </c>
      <c r="AA138" t="e">
        <f t="shared" si="52"/>
        <v>#VALUE!</v>
      </c>
      <c r="AB138" t="e">
        <f t="shared" si="53"/>
        <v>#VALUE!</v>
      </c>
    </row>
    <row r="139" spans="1:28">
      <c r="A139" t="s">
        <v>581</v>
      </c>
      <c r="B139" t="s">
        <v>582</v>
      </c>
      <c r="C139" t="s">
        <v>41</v>
      </c>
      <c r="D139" t="str">
        <f t="shared" si="36"/>
        <v>Nisha Singh(E1138)-Finance</v>
      </c>
      <c r="E139" t="str">
        <f t="shared" si="37"/>
        <v>Finance</v>
      </c>
      <c r="F139" t="s">
        <v>89</v>
      </c>
      <c r="G139" t="s">
        <v>583</v>
      </c>
      <c r="H139" t="str">
        <f t="shared" si="38"/>
        <v>Monday</v>
      </c>
      <c r="I139" t="str">
        <f t="shared" si="39"/>
        <v>Mon</v>
      </c>
      <c r="J139" t="str">
        <f t="shared" si="40"/>
        <v>day</v>
      </c>
      <c r="K139" t="str">
        <f t="shared" si="41"/>
        <v>Oct</v>
      </c>
      <c r="L139">
        <f t="shared" si="42"/>
        <v>2022</v>
      </c>
      <c r="M139" t="s">
        <v>584</v>
      </c>
      <c r="N139">
        <f t="shared" si="43"/>
        <v>23</v>
      </c>
      <c r="O139">
        <f t="shared" si="44"/>
        <v>16</v>
      </c>
      <c r="P139">
        <f t="shared" si="45"/>
        <v>10</v>
      </c>
      <c r="Q139">
        <v>66084</v>
      </c>
      <c r="R139">
        <v>50003</v>
      </c>
      <c r="S139" t="str">
        <f t="shared" si="46"/>
        <v>high target</v>
      </c>
      <c r="T139" t="str">
        <f t="shared" si="47"/>
        <v>mid target</v>
      </c>
      <c r="U139" t="s">
        <v>37</v>
      </c>
      <c r="V139">
        <f t="shared" si="48"/>
        <v>18</v>
      </c>
      <c r="W139" t="str">
        <f t="shared" si="49"/>
        <v>GOOD COMMUNICATION</v>
      </c>
      <c r="X139" t="str">
        <f t="shared" si="50"/>
        <v>good communication</v>
      </c>
      <c r="Y139" t="str">
        <f t="shared" si="51"/>
        <v>Good Communication</v>
      </c>
      <c r="AA139" t="e">
        <f t="shared" si="52"/>
        <v>#VALUE!</v>
      </c>
      <c r="AB139" t="e">
        <f t="shared" si="53"/>
        <v>#VALUE!</v>
      </c>
    </row>
    <row r="140" spans="1:28">
      <c r="A140" t="s">
        <v>585</v>
      </c>
      <c r="B140" t="s">
        <v>586</v>
      </c>
      <c r="C140" t="s">
        <v>11</v>
      </c>
      <c r="D140" t="str">
        <f t="shared" si="36"/>
        <v>Rahul Verma(E1139)-Sales</v>
      </c>
      <c r="E140" t="str">
        <f t="shared" si="37"/>
        <v>Sales</v>
      </c>
      <c r="F140" t="s">
        <v>89</v>
      </c>
      <c r="G140" t="s">
        <v>587</v>
      </c>
      <c r="H140" t="str">
        <f t="shared" si="38"/>
        <v>Saturday</v>
      </c>
      <c r="I140" t="str">
        <f t="shared" si="39"/>
        <v>Sat</v>
      </c>
      <c r="J140" t="str">
        <f t="shared" si="40"/>
        <v>day</v>
      </c>
      <c r="K140" t="str">
        <f t="shared" si="41"/>
        <v>Jul</v>
      </c>
      <c r="L140">
        <f t="shared" si="42"/>
        <v>2021</v>
      </c>
      <c r="M140" t="s">
        <v>588</v>
      </c>
      <c r="N140">
        <f t="shared" si="43"/>
        <v>23</v>
      </c>
      <c r="O140">
        <f t="shared" si="44"/>
        <v>47</v>
      </c>
      <c r="P140">
        <f t="shared" si="45"/>
        <v>10</v>
      </c>
      <c r="Q140">
        <v>86727</v>
      </c>
      <c r="R140">
        <v>93200</v>
      </c>
      <c r="S140" t="str">
        <f t="shared" si="46"/>
        <v>high target</v>
      </c>
      <c r="T140" t="str">
        <f t="shared" si="47"/>
        <v>high target</v>
      </c>
      <c r="U140" t="s">
        <v>44</v>
      </c>
      <c r="V140">
        <f t="shared" si="48"/>
        <v>19</v>
      </c>
      <c r="W140" t="str">
        <f t="shared" si="49"/>
        <v>STRONG PRESENTATION</v>
      </c>
      <c r="X140" t="str">
        <f t="shared" si="50"/>
        <v>strong presentation</v>
      </c>
      <c r="Y140" t="str">
        <f t="shared" si="51"/>
        <v>Strong Presentation</v>
      </c>
      <c r="AA140" t="e">
        <f t="shared" si="52"/>
        <v>#VALUE!</v>
      </c>
      <c r="AB140" t="e">
        <f t="shared" si="53"/>
        <v>#VALUE!</v>
      </c>
    </row>
    <row r="141" spans="1:28">
      <c r="A141" t="s">
        <v>589</v>
      </c>
      <c r="B141" t="s">
        <v>161</v>
      </c>
      <c r="C141" t="s">
        <v>41</v>
      </c>
      <c r="D141" t="str">
        <f t="shared" si="36"/>
        <v>Priya Mishra(E1140)-Finance</v>
      </c>
      <c r="E141" t="str">
        <f t="shared" si="37"/>
        <v>Finance</v>
      </c>
      <c r="F141" t="s">
        <v>19</v>
      </c>
      <c r="G141" t="s">
        <v>454</v>
      </c>
      <c r="H141" t="str">
        <f t="shared" si="38"/>
        <v>Saturday</v>
      </c>
      <c r="I141" t="str">
        <f t="shared" si="39"/>
        <v>Sat</v>
      </c>
      <c r="J141" t="str">
        <f t="shared" si="40"/>
        <v>day</v>
      </c>
      <c r="K141" t="str">
        <f t="shared" si="41"/>
        <v>Apr</v>
      </c>
      <c r="L141">
        <f t="shared" si="42"/>
        <v>2023</v>
      </c>
      <c r="M141" t="s">
        <v>590</v>
      </c>
      <c r="N141">
        <f t="shared" si="43"/>
        <v>42</v>
      </c>
      <c r="O141">
        <f t="shared" si="44"/>
        <v>55</v>
      </c>
      <c r="P141">
        <f t="shared" si="45"/>
        <v>9</v>
      </c>
      <c r="Q141">
        <v>101887</v>
      </c>
      <c r="R141">
        <v>89170</v>
      </c>
      <c r="S141" t="str">
        <f t="shared" si="46"/>
        <v>high target</v>
      </c>
      <c r="T141" t="str">
        <f t="shared" si="47"/>
        <v>high target</v>
      </c>
      <c r="U141" t="s">
        <v>213</v>
      </c>
      <c r="V141">
        <f t="shared" si="48"/>
        <v>17</v>
      </c>
      <c r="W141" t="str">
        <f t="shared" si="49"/>
        <v>POSITIVE ATTITUDE</v>
      </c>
      <c r="X141" t="str">
        <f t="shared" si="50"/>
        <v>positive attitude</v>
      </c>
      <c r="Y141" t="str">
        <f t="shared" si="51"/>
        <v>Positive Attitude</v>
      </c>
      <c r="AA141" t="e">
        <f t="shared" si="52"/>
        <v>#VALUE!</v>
      </c>
      <c r="AB141" t="e">
        <f t="shared" si="53"/>
        <v>#VALUE!</v>
      </c>
    </row>
    <row r="142" spans="1:28">
      <c r="A142" t="s">
        <v>591</v>
      </c>
      <c r="B142" t="s">
        <v>592</v>
      </c>
      <c r="C142" t="s">
        <v>41</v>
      </c>
      <c r="D142" t="str">
        <f t="shared" si="36"/>
        <v>Madhuri Patel(E1141)-Finance</v>
      </c>
      <c r="E142" t="str">
        <f t="shared" si="37"/>
        <v>Finance</v>
      </c>
      <c r="F142" t="s">
        <v>12</v>
      </c>
      <c r="G142" t="s">
        <v>593</v>
      </c>
      <c r="H142" t="str">
        <f t="shared" si="38"/>
        <v>Thursday</v>
      </c>
      <c r="I142" t="str">
        <f t="shared" si="39"/>
        <v>Thu</v>
      </c>
      <c r="J142" t="str">
        <f t="shared" si="40"/>
        <v>day</v>
      </c>
      <c r="K142" t="str">
        <f t="shared" si="41"/>
        <v>Dec</v>
      </c>
      <c r="L142">
        <f t="shared" si="42"/>
        <v>2022</v>
      </c>
      <c r="M142" t="s">
        <v>594</v>
      </c>
      <c r="N142">
        <f t="shared" si="43"/>
        <v>32</v>
      </c>
      <c r="O142">
        <f t="shared" si="44"/>
        <v>36</v>
      </c>
      <c r="P142">
        <f t="shared" si="45"/>
        <v>8</v>
      </c>
      <c r="Q142">
        <v>49082</v>
      </c>
      <c r="R142">
        <v>53942</v>
      </c>
      <c r="S142" t="str">
        <f t="shared" si="46"/>
        <v>high target</v>
      </c>
      <c r="T142" t="str">
        <f t="shared" si="47"/>
        <v>mid target</v>
      </c>
      <c r="U142" t="s">
        <v>68</v>
      </c>
      <c r="V142">
        <f t="shared" si="48"/>
        <v>13</v>
      </c>
      <c r="W142" t="str">
        <f t="shared" si="49"/>
        <v>GOOD TEAMWORK</v>
      </c>
      <c r="X142" t="str">
        <f t="shared" si="50"/>
        <v>good teamwork</v>
      </c>
      <c r="Y142" t="str">
        <f t="shared" si="51"/>
        <v>Good Teamwork</v>
      </c>
      <c r="AA142" t="e">
        <f t="shared" si="52"/>
        <v>#VALUE!</v>
      </c>
      <c r="AB142" t="e">
        <f t="shared" si="53"/>
        <v>#VALUE!</v>
      </c>
    </row>
    <row r="143" spans="1:28">
      <c r="A143" t="s">
        <v>595</v>
      </c>
      <c r="B143" t="s">
        <v>596</v>
      </c>
      <c r="C143" t="s">
        <v>11</v>
      </c>
      <c r="D143" t="str">
        <f t="shared" si="36"/>
        <v>Kavita Nair(E1142)-Sales</v>
      </c>
      <c r="E143" t="str">
        <f t="shared" si="37"/>
        <v>Sales</v>
      </c>
      <c r="F143" t="s">
        <v>34</v>
      </c>
      <c r="G143" t="s">
        <v>597</v>
      </c>
      <c r="H143" t="str">
        <f t="shared" si="38"/>
        <v>Wednesday</v>
      </c>
      <c r="I143" t="str">
        <f t="shared" si="39"/>
        <v>Wed</v>
      </c>
      <c r="J143" t="str">
        <f t="shared" si="40"/>
        <v>day</v>
      </c>
      <c r="K143" t="str">
        <f t="shared" si="41"/>
        <v>Feb</v>
      </c>
      <c r="L143">
        <f t="shared" si="42"/>
        <v>2024</v>
      </c>
      <c r="M143" t="s">
        <v>598</v>
      </c>
      <c r="N143">
        <f t="shared" si="43"/>
        <v>48</v>
      </c>
      <c r="O143">
        <f t="shared" si="44"/>
        <v>7</v>
      </c>
      <c r="P143">
        <f t="shared" si="45"/>
        <v>9</v>
      </c>
      <c r="Q143">
        <v>58077</v>
      </c>
      <c r="R143">
        <v>58256</v>
      </c>
      <c r="S143" t="str">
        <f t="shared" si="46"/>
        <v>high target</v>
      </c>
      <c r="T143" t="str">
        <f t="shared" si="47"/>
        <v>mid target</v>
      </c>
      <c r="U143" t="s">
        <v>30</v>
      </c>
      <c r="V143">
        <f t="shared" si="48"/>
        <v>16</v>
      </c>
      <c r="W143" t="str">
        <f t="shared" si="49"/>
        <v>CUSTOMER FOCUSED</v>
      </c>
      <c r="X143" t="str">
        <f t="shared" si="50"/>
        <v>customer focused</v>
      </c>
      <c r="Y143" t="str">
        <f t="shared" si="51"/>
        <v>Customer Focused</v>
      </c>
      <c r="AA143" t="e">
        <f t="shared" si="52"/>
        <v>#VALUE!</v>
      </c>
      <c r="AB143" t="e">
        <f t="shared" si="53"/>
        <v>#VALUE!</v>
      </c>
    </row>
    <row r="144" spans="1:28">
      <c r="A144" t="s">
        <v>599</v>
      </c>
      <c r="B144" t="s">
        <v>600</v>
      </c>
      <c r="C144" t="s">
        <v>11</v>
      </c>
      <c r="D144" t="str">
        <f t="shared" si="36"/>
        <v>Nisha Goyal(E1143)-Sales</v>
      </c>
      <c r="E144" t="str">
        <f t="shared" si="37"/>
        <v>Sales</v>
      </c>
      <c r="F144" t="s">
        <v>12</v>
      </c>
      <c r="G144" t="s">
        <v>601</v>
      </c>
      <c r="H144" t="str">
        <f t="shared" si="38"/>
        <v>Monday</v>
      </c>
      <c r="I144" t="str">
        <f t="shared" si="39"/>
        <v>Mon</v>
      </c>
      <c r="J144" t="str">
        <f t="shared" si="40"/>
        <v>day</v>
      </c>
      <c r="K144" t="str">
        <f t="shared" si="41"/>
        <v>Mar</v>
      </c>
      <c r="L144">
        <f t="shared" si="42"/>
        <v>2021</v>
      </c>
      <c r="M144" t="s">
        <v>602</v>
      </c>
      <c r="N144">
        <f t="shared" si="43"/>
        <v>44</v>
      </c>
      <c r="O144">
        <f t="shared" si="44"/>
        <v>17</v>
      </c>
      <c r="P144">
        <f t="shared" si="45"/>
        <v>8</v>
      </c>
      <c r="Q144">
        <v>95214</v>
      </c>
      <c r="R144">
        <v>89965</v>
      </c>
      <c r="S144" t="str">
        <f t="shared" si="46"/>
        <v>high target</v>
      </c>
      <c r="T144" t="str">
        <f t="shared" si="47"/>
        <v>high target</v>
      </c>
      <c r="U144" t="s">
        <v>487</v>
      </c>
      <c r="V144">
        <f t="shared" si="48"/>
        <v>13</v>
      </c>
      <c r="W144" t="str">
        <f t="shared" si="49"/>
        <v>GREAT SUPPORT</v>
      </c>
      <c r="X144" t="str">
        <f t="shared" si="50"/>
        <v>great support</v>
      </c>
      <c r="Y144" t="str">
        <f t="shared" si="51"/>
        <v>Great Support</v>
      </c>
      <c r="AA144" t="e">
        <f t="shared" si="52"/>
        <v>#VALUE!</v>
      </c>
      <c r="AB144" t="e">
        <f t="shared" si="53"/>
        <v>#VALUE!</v>
      </c>
    </row>
    <row r="145" spans="1:28">
      <c r="A145" t="s">
        <v>603</v>
      </c>
      <c r="B145" t="s">
        <v>604</v>
      </c>
      <c r="C145" t="s">
        <v>11</v>
      </c>
      <c r="D145" t="str">
        <f t="shared" si="36"/>
        <v>Rohan Reddy(E1144)-Sales</v>
      </c>
      <c r="E145" t="str">
        <f t="shared" si="37"/>
        <v>Sales</v>
      </c>
      <c r="F145" t="s">
        <v>65</v>
      </c>
      <c r="G145" t="s">
        <v>605</v>
      </c>
      <c r="H145" t="str">
        <f t="shared" si="38"/>
        <v>Thursday</v>
      </c>
      <c r="I145" t="str">
        <f t="shared" si="39"/>
        <v>Thu</v>
      </c>
      <c r="J145" t="str">
        <f t="shared" si="40"/>
        <v>day</v>
      </c>
      <c r="K145" t="str">
        <f t="shared" si="41"/>
        <v>Oct</v>
      </c>
      <c r="L145">
        <f t="shared" si="42"/>
        <v>2021</v>
      </c>
      <c r="M145" t="s">
        <v>606</v>
      </c>
      <c r="N145">
        <f t="shared" si="43"/>
        <v>25</v>
      </c>
      <c r="O145">
        <f t="shared" si="44"/>
        <v>42</v>
      </c>
      <c r="P145">
        <f t="shared" si="45"/>
        <v>10</v>
      </c>
      <c r="Q145">
        <v>38857</v>
      </c>
      <c r="R145">
        <v>44560</v>
      </c>
      <c r="S145" t="str">
        <f t="shared" si="46"/>
        <v>low target</v>
      </c>
      <c r="T145" t="str">
        <f t="shared" si="47"/>
        <v>mid target</v>
      </c>
      <c r="U145" t="s">
        <v>22</v>
      </c>
      <c r="V145">
        <f t="shared" si="48"/>
        <v>13</v>
      </c>
      <c r="W145" t="str">
        <f t="shared" si="49"/>
        <v>FAST DELIVERY</v>
      </c>
      <c r="X145" t="str">
        <f t="shared" si="50"/>
        <v>fast delivery</v>
      </c>
      <c r="Y145" t="str">
        <f t="shared" si="51"/>
        <v>Fast Delivery</v>
      </c>
      <c r="AA145" t="e">
        <f t="shared" si="52"/>
        <v>#VALUE!</v>
      </c>
      <c r="AB145" t="e">
        <f t="shared" si="53"/>
        <v>#VALUE!</v>
      </c>
    </row>
    <row r="146" spans="1:28">
      <c r="A146" t="s">
        <v>607</v>
      </c>
      <c r="B146" t="s">
        <v>608</v>
      </c>
      <c r="C146" t="s">
        <v>11</v>
      </c>
      <c r="D146" t="str">
        <f t="shared" si="36"/>
        <v>Yash Sharma(E1145)-Sales</v>
      </c>
      <c r="E146" t="str">
        <f t="shared" si="37"/>
        <v>Sales</v>
      </c>
      <c r="F146" t="s">
        <v>27</v>
      </c>
      <c r="G146" t="s">
        <v>609</v>
      </c>
      <c r="H146" t="str">
        <f t="shared" si="38"/>
        <v>Friday</v>
      </c>
      <c r="I146" t="str">
        <f t="shared" si="39"/>
        <v>Fri</v>
      </c>
      <c r="J146" t="str">
        <f t="shared" si="40"/>
        <v>day</v>
      </c>
      <c r="K146" t="str">
        <f t="shared" si="41"/>
        <v>Feb</v>
      </c>
      <c r="L146">
        <f t="shared" si="42"/>
        <v>2023</v>
      </c>
      <c r="M146" t="s">
        <v>610</v>
      </c>
      <c r="N146">
        <f t="shared" si="43"/>
        <v>21</v>
      </c>
      <c r="O146">
        <f t="shared" si="44"/>
        <v>29</v>
      </c>
      <c r="P146">
        <f t="shared" si="45"/>
        <v>9</v>
      </c>
      <c r="Q146">
        <v>59566</v>
      </c>
      <c r="R146">
        <v>50315</v>
      </c>
      <c r="S146" t="str">
        <f t="shared" si="46"/>
        <v>high target</v>
      </c>
      <c r="T146" t="str">
        <f t="shared" si="47"/>
        <v>mid target</v>
      </c>
      <c r="U146" t="s">
        <v>142</v>
      </c>
      <c r="V146">
        <f t="shared" si="48"/>
        <v>17</v>
      </c>
      <c r="W146" t="str">
        <f t="shared" si="49"/>
        <v>NEEDS IMPROVEMENT</v>
      </c>
      <c r="X146" t="str">
        <f t="shared" si="50"/>
        <v>needs improvement</v>
      </c>
      <c r="Y146" t="str">
        <f t="shared" si="51"/>
        <v>Needs Improvement</v>
      </c>
      <c r="AA146" t="e">
        <f t="shared" si="52"/>
        <v>#VALUE!</v>
      </c>
      <c r="AB146" t="e">
        <f t="shared" si="53"/>
        <v>#VALUE!</v>
      </c>
    </row>
    <row r="147" spans="1:28">
      <c r="A147" t="s">
        <v>611</v>
      </c>
      <c r="B147" t="s">
        <v>612</v>
      </c>
      <c r="C147" t="s">
        <v>11</v>
      </c>
      <c r="D147" t="str">
        <f t="shared" si="36"/>
        <v>Komal Iyer(E1146)-Sales</v>
      </c>
      <c r="E147" t="str">
        <f t="shared" si="37"/>
        <v>Sales</v>
      </c>
      <c r="F147" t="s">
        <v>72</v>
      </c>
      <c r="G147" t="s">
        <v>613</v>
      </c>
      <c r="H147" t="str">
        <f t="shared" si="38"/>
        <v>Monday</v>
      </c>
      <c r="I147" t="str">
        <f t="shared" si="39"/>
        <v>Mon</v>
      </c>
      <c r="J147" t="str">
        <f t="shared" si="40"/>
        <v>day</v>
      </c>
      <c r="K147" t="str">
        <f t="shared" si="41"/>
        <v>Nov</v>
      </c>
      <c r="L147">
        <f t="shared" si="42"/>
        <v>2021</v>
      </c>
      <c r="M147" t="s">
        <v>614</v>
      </c>
      <c r="N147">
        <f t="shared" si="43"/>
        <v>39</v>
      </c>
      <c r="O147">
        <f t="shared" si="44"/>
        <v>48</v>
      </c>
      <c r="P147">
        <f t="shared" si="45"/>
        <v>8</v>
      </c>
      <c r="Q147">
        <v>33607</v>
      </c>
      <c r="R147">
        <v>43261</v>
      </c>
      <c r="S147" t="str">
        <f t="shared" si="46"/>
        <v>low target</v>
      </c>
      <c r="T147" t="str">
        <f t="shared" si="47"/>
        <v>mid target</v>
      </c>
      <c r="U147" t="s">
        <v>142</v>
      </c>
      <c r="V147">
        <f t="shared" si="48"/>
        <v>17</v>
      </c>
      <c r="W147" t="str">
        <f t="shared" si="49"/>
        <v>NEEDS IMPROVEMENT</v>
      </c>
      <c r="X147" t="str">
        <f t="shared" si="50"/>
        <v>needs improvement</v>
      </c>
      <c r="Y147" t="str">
        <f t="shared" si="51"/>
        <v>Needs Improvement</v>
      </c>
      <c r="AA147" t="e">
        <f t="shared" si="52"/>
        <v>#VALUE!</v>
      </c>
      <c r="AB147" t="e">
        <f t="shared" si="53"/>
        <v>#VALUE!</v>
      </c>
    </row>
    <row r="148" spans="1:28">
      <c r="A148" t="s">
        <v>615</v>
      </c>
      <c r="B148" t="s">
        <v>616</v>
      </c>
      <c r="C148" t="s">
        <v>26</v>
      </c>
      <c r="D148" t="str">
        <f t="shared" si="36"/>
        <v>Deepak Chopra(E1147)-Marketing</v>
      </c>
      <c r="E148" t="str">
        <f t="shared" si="37"/>
        <v>Marketing</v>
      </c>
      <c r="F148" t="s">
        <v>79</v>
      </c>
      <c r="G148" t="s">
        <v>617</v>
      </c>
      <c r="H148" t="str">
        <f t="shared" si="38"/>
        <v>Saturday</v>
      </c>
      <c r="I148" t="str">
        <f t="shared" si="39"/>
        <v>Sat</v>
      </c>
      <c r="J148" t="str">
        <f t="shared" si="40"/>
        <v>day</v>
      </c>
      <c r="K148" t="str">
        <f t="shared" si="41"/>
        <v>Apr</v>
      </c>
      <c r="L148">
        <f t="shared" si="42"/>
        <v>2023</v>
      </c>
      <c r="M148" t="s">
        <v>618</v>
      </c>
      <c r="N148">
        <f t="shared" si="43"/>
        <v>48</v>
      </c>
      <c r="O148">
        <f t="shared" si="44"/>
        <v>13</v>
      </c>
      <c r="P148">
        <f t="shared" si="45"/>
        <v>9</v>
      </c>
      <c r="Q148">
        <v>66036</v>
      </c>
      <c r="R148">
        <v>73577</v>
      </c>
      <c r="S148" t="str">
        <f t="shared" si="46"/>
        <v>high target</v>
      </c>
      <c r="T148" t="str">
        <f t="shared" si="47"/>
        <v>high target</v>
      </c>
      <c r="U148" t="s">
        <v>121</v>
      </c>
      <c r="V148">
        <f t="shared" si="48"/>
        <v>14</v>
      </c>
      <c r="W148" t="str">
        <f t="shared" si="49"/>
        <v>CREATIVE IDEAS</v>
      </c>
      <c r="X148" t="str">
        <f t="shared" si="50"/>
        <v>creative ideas</v>
      </c>
      <c r="Y148" t="str">
        <f t="shared" si="51"/>
        <v>Creative Ideas</v>
      </c>
      <c r="AA148" t="e">
        <f t="shared" si="52"/>
        <v>#VALUE!</v>
      </c>
      <c r="AB148" t="e">
        <f t="shared" si="53"/>
        <v>#VALUE!</v>
      </c>
    </row>
    <row r="149" spans="1:28">
      <c r="A149" t="s">
        <v>619</v>
      </c>
      <c r="B149" t="s">
        <v>582</v>
      </c>
      <c r="C149" t="s">
        <v>41</v>
      </c>
      <c r="D149" t="str">
        <f t="shared" si="36"/>
        <v>Nisha Singh(E1148)-Finance</v>
      </c>
      <c r="E149" t="str">
        <f t="shared" si="37"/>
        <v>Finance</v>
      </c>
      <c r="F149" t="s">
        <v>79</v>
      </c>
      <c r="G149" t="s">
        <v>620</v>
      </c>
      <c r="H149" t="str">
        <f t="shared" si="38"/>
        <v>Saturday</v>
      </c>
      <c r="I149" t="str">
        <f t="shared" si="39"/>
        <v>Sat</v>
      </c>
      <c r="J149" t="str">
        <f t="shared" si="40"/>
        <v>day</v>
      </c>
      <c r="K149" t="str">
        <f t="shared" si="41"/>
        <v>Dec</v>
      </c>
      <c r="L149">
        <f t="shared" si="42"/>
        <v>2023</v>
      </c>
      <c r="M149" t="s">
        <v>621</v>
      </c>
      <c r="N149">
        <f t="shared" si="43"/>
        <v>2</v>
      </c>
      <c r="O149">
        <f t="shared" si="44"/>
        <v>19</v>
      </c>
      <c r="P149">
        <f t="shared" si="45"/>
        <v>10</v>
      </c>
      <c r="Q149">
        <v>65354</v>
      </c>
      <c r="R149">
        <v>54451</v>
      </c>
      <c r="S149" t="str">
        <f t="shared" si="46"/>
        <v>high target</v>
      </c>
      <c r="T149" t="str">
        <f t="shared" si="47"/>
        <v>mid target</v>
      </c>
      <c r="U149" t="s">
        <v>15</v>
      </c>
      <c r="V149">
        <f t="shared" si="48"/>
        <v>20</v>
      </c>
      <c r="W149" t="str">
        <f t="shared" si="49"/>
        <v>EXCELLENT LEADERSHIP</v>
      </c>
      <c r="X149" t="str">
        <f t="shared" si="50"/>
        <v>excellent leadership</v>
      </c>
      <c r="Y149" t="str">
        <f t="shared" si="51"/>
        <v>Excellent Leadership</v>
      </c>
      <c r="AA149" t="e">
        <f t="shared" si="52"/>
        <v>#VALUE!</v>
      </c>
      <c r="AB149" t="e">
        <f t="shared" si="53"/>
        <v>#VALUE!</v>
      </c>
    </row>
    <row r="150" spans="1:28">
      <c r="A150" t="s">
        <v>622</v>
      </c>
      <c r="B150" t="s">
        <v>623</v>
      </c>
      <c r="C150" t="s">
        <v>53</v>
      </c>
      <c r="D150" t="str">
        <f t="shared" si="36"/>
        <v>Priya Sharma(E1149)-HR</v>
      </c>
      <c r="E150" t="str">
        <f t="shared" si="37"/>
        <v>HR</v>
      </c>
      <c r="F150" t="s">
        <v>12</v>
      </c>
      <c r="G150" t="s">
        <v>624</v>
      </c>
      <c r="H150" t="str">
        <f t="shared" si="38"/>
        <v>Wednesday</v>
      </c>
      <c r="I150" t="str">
        <f t="shared" si="39"/>
        <v>Wed</v>
      </c>
      <c r="J150" t="str">
        <f t="shared" si="40"/>
        <v>day</v>
      </c>
      <c r="K150" t="str">
        <f t="shared" si="41"/>
        <v>Mar</v>
      </c>
      <c r="L150">
        <f t="shared" si="42"/>
        <v>2022</v>
      </c>
      <c r="M150" t="s">
        <v>625</v>
      </c>
      <c r="N150">
        <f t="shared" si="43"/>
        <v>16</v>
      </c>
      <c r="O150">
        <f t="shared" si="44"/>
        <v>48</v>
      </c>
      <c r="P150">
        <f t="shared" si="45"/>
        <v>8</v>
      </c>
      <c r="Q150">
        <v>65472</v>
      </c>
      <c r="R150">
        <v>58969</v>
      </c>
      <c r="S150" t="str">
        <f t="shared" si="46"/>
        <v>high target</v>
      </c>
      <c r="T150" t="str">
        <f t="shared" si="47"/>
        <v>mid target</v>
      </c>
      <c r="U150" t="s">
        <v>37</v>
      </c>
      <c r="V150">
        <f t="shared" si="48"/>
        <v>18</v>
      </c>
      <c r="W150" t="str">
        <f t="shared" si="49"/>
        <v>GOOD COMMUNICATION</v>
      </c>
      <c r="X150" t="str">
        <f t="shared" si="50"/>
        <v>good communication</v>
      </c>
      <c r="Y150" t="str">
        <f t="shared" si="51"/>
        <v>Good Communication</v>
      </c>
      <c r="AA150" t="e">
        <f t="shared" si="52"/>
        <v>#VALUE!</v>
      </c>
      <c r="AB150" t="e">
        <f t="shared" si="53"/>
        <v>#VALUE!</v>
      </c>
    </row>
    <row r="151" spans="1:28">
      <c r="A151" t="s">
        <v>626</v>
      </c>
      <c r="B151" t="s">
        <v>627</v>
      </c>
      <c r="C151" t="s">
        <v>26</v>
      </c>
      <c r="D151" t="str">
        <f t="shared" si="36"/>
        <v>Amit Agarwal(E1150)-Marketing</v>
      </c>
      <c r="E151" t="str">
        <f t="shared" si="37"/>
        <v>Marketing</v>
      </c>
      <c r="F151" t="s">
        <v>65</v>
      </c>
      <c r="G151" t="s">
        <v>628</v>
      </c>
      <c r="H151" t="str">
        <f t="shared" si="38"/>
        <v>Wednesday</v>
      </c>
      <c r="I151" t="str">
        <f t="shared" si="39"/>
        <v>Wed</v>
      </c>
      <c r="J151" t="str">
        <f t="shared" si="40"/>
        <v>day</v>
      </c>
      <c r="K151" t="str">
        <f t="shared" si="41"/>
        <v>Sep</v>
      </c>
      <c r="L151">
        <f t="shared" si="42"/>
        <v>2021</v>
      </c>
      <c r="M151" t="s">
        <v>629</v>
      </c>
      <c r="N151">
        <f t="shared" si="43"/>
        <v>45</v>
      </c>
      <c r="O151">
        <f t="shared" si="44"/>
        <v>34</v>
      </c>
      <c r="P151">
        <f t="shared" si="45"/>
        <v>9</v>
      </c>
      <c r="Q151">
        <v>72865</v>
      </c>
      <c r="R151">
        <v>55080</v>
      </c>
      <c r="S151" t="str">
        <f t="shared" si="46"/>
        <v>high target</v>
      </c>
      <c r="T151" t="str">
        <f t="shared" si="47"/>
        <v>mid target</v>
      </c>
      <c r="U151" t="s">
        <v>44</v>
      </c>
      <c r="V151">
        <f t="shared" si="48"/>
        <v>19</v>
      </c>
      <c r="W151" t="str">
        <f t="shared" si="49"/>
        <v>STRONG PRESENTATION</v>
      </c>
      <c r="X151" t="str">
        <f t="shared" si="50"/>
        <v>strong presentation</v>
      </c>
      <c r="Y151" t="str">
        <f t="shared" si="51"/>
        <v>Strong Presentation</v>
      </c>
      <c r="AA151" t="e">
        <f t="shared" si="52"/>
        <v>#VALUE!</v>
      </c>
      <c r="AB151" t="e">
        <f t="shared" si="53"/>
        <v>#VALUE!</v>
      </c>
    </row>
    <row r="152" spans="1:28">
      <c r="A152" t="s">
        <v>630</v>
      </c>
      <c r="B152" t="s">
        <v>631</v>
      </c>
      <c r="C152" t="s">
        <v>11</v>
      </c>
      <c r="D152" t="str">
        <f t="shared" si="36"/>
        <v>Varun Reddy(E1151)-Sales</v>
      </c>
      <c r="E152" t="str">
        <f t="shared" si="37"/>
        <v>Sales</v>
      </c>
      <c r="F152" t="s">
        <v>89</v>
      </c>
      <c r="G152" t="s">
        <v>632</v>
      </c>
      <c r="H152" t="str">
        <f t="shared" si="38"/>
        <v>Sunday</v>
      </c>
      <c r="I152" t="str">
        <f t="shared" si="39"/>
        <v>Sun</v>
      </c>
      <c r="J152" t="str">
        <f t="shared" si="40"/>
        <v>day</v>
      </c>
      <c r="K152" t="str">
        <f t="shared" si="41"/>
        <v>Mar</v>
      </c>
      <c r="L152">
        <f t="shared" si="42"/>
        <v>2021</v>
      </c>
      <c r="M152" t="s">
        <v>633</v>
      </c>
      <c r="N152">
        <f t="shared" si="43"/>
        <v>29</v>
      </c>
      <c r="O152">
        <f t="shared" si="44"/>
        <v>1</v>
      </c>
      <c r="P152">
        <f t="shared" si="45"/>
        <v>9</v>
      </c>
      <c r="Q152">
        <v>50618</v>
      </c>
      <c r="R152">
        <v>45102</v>
      </c>
      <c r="S152" t="str">
        <f t="shared" si="46"/>
        <v>low target</v>
      </c>
      <c r="T152" t="str">
        <f t="shared" si="47"/>
        <v>mid target</v>
      </c>
      <c r="U152" t="s">
        <v>15</v>
      </c>
      <c r="V152">
        <f t="shared" si="48"/>
        <v>20</v>
      </c>
      <c r="W152" t="str">
        <f t="shared" si="49"/>
        <v>EXCELLENT LEADERSHIP</v>
      </c>
      <c r="X152" t="str">
        <f t="shared" si="50"/>
        <v>excellent leadership</v>
      </c>
      <c r="Y152" t="str">
        <f t="shared" si="51"/>
        <v>Excellent Leadership</v>
      </c>
      <c r="AA152" t="e">
        <f t="shared" si="52"/>
        <v>#VALUE!</v>
      </c>
      <c r="AB152" t="e">
        <f t="shared" si="53"/>
        <v>#VALUE!</v>
      </c>
    </row>
    <row r="153" spans="1:28">
      <c r="A153" t="s">
        <v>634</v>
      </c>
      <c r="B153" t="s">
        <v>635</v>
      </c>
      <c r="C153" t="s">
        <v>26</v>
      </c>
      <c r="D153" t="str">
        <f t="shared" si="36"/>
        <v>Nisha Mishra(E1152)-Marketing</v>
      </c>
      <c r="E153" t="str">
        <f t="shared" si="37"/>
        <v>Marketing</v>
      </c>
      <c r="F153" t="s">
        <v>89</v>
      </c>
      <c r="G153" t="s">
        <v>636</v>
      </c>
      <c r="H153" t="str">
        <f t="shared" si="38"/>
        <v>Tuesday</v>
      </c>
      <c r="I153" t="str">
        <f t="shared" si="39"/>
        <v>Tue</v>
      </c>
      <c r="J153" t="str">
        <f t="shared" si="40"/>
        <v>day</v>
      </c>
      <c r="K153" t="str">
        <f t="shared" si="41"/>
        <v>Aug</v>
      </c>
      <c r="L153">
        <f t="shared" si="42"/>
        <v>2022</v>
      </c>
      <c r="M153" t="s">
        <v>637</v>
      </c>
      <c r="N153">
        <f t="shared" si="43"/>
        <v>1</v>
      </c>
      <c r="O153">
        <f t="shared" si="44"/>
        <v>25</v>
      </c>
      <c r="P153">
        <f t="shared" si="45"/>
        <v>8</v>
      </c>
      <c r="Q153">
        <v>57547</v>
      </c>
      <c r="R153">
        <v>61284</v>
      </c>
      <c r="S153" t="str">
        <f t="shared" si="46"/>
        <v>high target</v>
      </c>
      <c r="T153" t="str">
        <f t="shared" si="47"/>
        <v>mid target</v>
      </c>
      <c r="U153" t="s">
        <v>30</v>
      </c>
      <c r="V153">
        <f t="shared" si="48"/>
        <v>16</v>
      </c>
      <c r="W153" t="str">
        <f t="shared" si="49"/>
        <v>CUSTOMER FOCUSED</v>
      </c>
      <c r="X153" t="str">
        <f t="shared" si="50"/>
        <v>customer focused</v>
      </c>
      <c r="Y153" t="str">
        <f t="shared" si="51"/>
        <v>Customer Focused</v>
      </c>
      <c r="AA153" t="e">
        <f t="shared" si="52"/>
        <v>#VALUE!</v>
      </c>
      <c r="AB153" t="e">
        <f t="shared" si="53"/>
        <v>#VALUE!</v>
      </c>
    </row>
    <row r="154" spans="1:28">
      <c r="A154" t="s">
        <v>638</v>
      </c>
      <c r="B154" t="s">
        <v>639</v>
      </c>
      <c r="C154" t="s">
        <v>41</v>
      </c>
      <c r="D154" t="str">
        <f t="shared" si="36"/>
        <v>Shreya Malhotra(E1153)-Finance</v>
      </c>
      <c r="E154" t="str">
        <f t="shared" si="37"/>
        <v>Finance</v>
      </c>
      <c r="F154" t="s">
        <v>19</v>
      </c>
      <c r="G154" t="s">
        <v>640</v>
      </c>
      <c r="H154" t="str">
        <f t="shared" si="38"/>
        <v>Wednesday</v>
      </c>
      <c r="I154" t="str">
        <f t="shared" si="39"/>
        <v>Wed</v>
      </c>
      <c r="J154" t="str">
        <f t="shared" si="40"/>
        <v>day</v>
      </c>
      <c r="K154" t="str">
        <f t="shared" si="41"/>
        <v>Jun</v>
      </c>
      <c r="L154">
        <f t="shared" si="42"/>
        <v>2023</v>
      </c>
      <c r="M154" t="s">
        <v>641</v>
      </c>
      <c r="N154">
        <f t="shared" si="43"/>
        <v>27</v>
      </c>
      <c r="O154">
        <f t="shared" si="44"/>
        <v>15</v>
      </c>
      <c r="P154">
        <f t="shared" si="45"/>
        <v>8</v>
      </c>
      <c r="Q154">
        <v>89835</v>
      </c>
      <c r="R154">
        <v>78592</v>
      </c>
      <c r="S154" t="str">
        <f t="shared" si="46"/>
        <v>high target</v>
      </c>
      <c r="T154" t="str">
        <f t="shared" si="47"/>
        <v>high target</v>
      </c>
      <c r="U154" t="s">
        <v>44</v>
      </c>
      <c r="V154">
        <f t="shared" si="48"/>
        <v>19</v>
      </c>
      <c r="W154" t="str">
        <f t="shared" si="49"/>
        <v>STRONG PRESENTATION</v>
      </c>
      <c r="X154" t="str">
        <f t="shared" si="50"/>
        <v>strong presentation</v>
      </c>
      <c r="Y154" t="str">
        <f t="shared" si="51"/>
        <v>Strong Presentation</v>
      </c>
      <c r="AA154" t="e">
        <f t="shared" si="52"/>
        <v>#VALUE!</v>
      </c>
      <c r="AB154" t="e">
        <f t="shared" si="53"/>
        <v>#VALUE!</v>
      </c>
    </row>
    <row r="155" spans="1:28">
      <c r="A155" t="s">
        <v>642</v>
      </c>
      <c r="B155" t="s">
        <v>643</v>
      </c>
      <c r="C155" t="s">
        <v>41</v>
      </c>
      <c r="D155" t="str">
        <f t="shared" si="36"/>
        <v>Rahul Bansal(E1154)-Finance</v>
      </c>
      <c r="E155" t="str">
        <f t="shared" si="37"/>
        <v>Finance</v>
      </c>
      <c r="F155" t="s">
        <v>34</v>
      </c>
      <c r="G155" t="s">
        <v>644</v>
      </c>
      <c r="H155" t="str">
        <f t="shared" si="38"/>
        <v>Wednesday</v>
      </c>
      <c r="I155" t="str">
        <f t="shared" si="39"/>
        <v>Wed</v>
      </c>
      <c r="J155" t="str">
        <f t="shared" si="40"/>
        <v>day</v>
      </c>
      <c r="K155" t="str">
        <f t="shared" si="41"/>
        <v>Mar</v>
      </c>
      <c r="L155">
        <f t="shared" si="42"/>
        <v>2022</v>
      </c>
      <c r="M155" t="s">
        <v>645</v>
      </c>
      <c r="N155">
        <f t="shared" si="43"/>
        <v>10</v>
      </c>
      <c r="O155">
        <f t="shared" si="44"/>
        <v>49</v>
      </c>
      <c r="P155">
        <f t="shared" si="45"/>
        <v>9</v>
      </c>
      <c r="Q155">
        <v>63460</v>
      </c>
      <c r="R155">
        <v>45005</v>
      </c>
      <c r="S155" t="str">
        <f t="shared" si="46"/>
        <v>low target</v>
      </c>
      <c r="T155" t="str">
        <f t="shared" si="47"/>
        <v>mid target</v>
      </c>
      <c r="U155" t="s">
        <v>68</v>
      </c>
      <c r="V155">
        <f t="shared" si="48"/>
        <v>13</v>
      </c>
      <c r="W155" t="str">
        <f t="shared" si="49"/>
        <v>GOOD TEAMWORK</v>
      </c>
      <c r="X155" t="str">
        <f t="shared" si="50"/>
        <v>good teamwork</v>
      </c>
      <c r="Y155" t="str">
        <f t="shared" si="51"/>
        <v>Good Teamwork</v>
      </c>
      <c r="AA155" t="e">
        <f t="shared" si="52"/>
        <v>#VALUE!</v>
      </c>
      <c r="AB155" t="e">
        <f t="shared" si="53"/>
        <v>#VALUE!</v>
      </c>
    </row>
    <row r="156" spans="1:28">
      <c r="A156" t="s">
        <v>646</v>
      </c>
      <c r="B156" t="s">
        <v>647</v>
      </c>
      <c r="C156" t="s">
        <v>53</v>
      </c>
      <c r="D156" t="str">
        <f t="shared" si="36"/>
        <v>Neha Saxena(E1155)-HR</v>
      </c>
      <c r="E156" t="str">
        <f t="shared" si="37"/>
        <v>HR</v>
      </c>
      <c r="F156" t="s">
        <v>34</v>
      </c>
      <c r="G156" t="s">
        <v>648</v>
      </c>
      <c r="H156" t="str">
        <f t="shared" si="38"/>
        <v>Wednesday</v>
      </c>
      <c r="I156" t="str">
        <f t="shared" si="39"/>
        <v>Wed</v>
      </c>
      <c r="J156" t="str">
        <f t="shared" si="40"/>
        <v>day</v>
      </c>
      <c r="K156" t="str">
        <f t="shared" si="41"/>
        <v>Dec</v>
      </c>
      <c r="L156">
        <f t="shared" si="42"/>
        <v>2022</v>
      </c>
      <c r="M156" t="s">
        <v>649</v>
      </c>
      <c r="N156">
        <f t="shared" si="43"/>
        <v>41</v>
      </c>
      <c r="O156">
        <f t="shared" si="44"/>
        <v>52</v>
      </c>
      <c r="P156">
        <f t="shared" si="45"/>
        <v>10</v>
      </c>
      <c r="Q156">
        <v>88093</v>
      </c>
      <c r="R156">
        <v>93414</v>
      </c>
      <c r="S156" t="str">
        <f t="shared" si="46"/>
        <v>high target</v>
      </c>
      <c r="T156" t="str">
        <f t="shared" si="47"/>
        <v>high target</v>
      </c>
      <c r="U156" t="s">
        <v>75</v>
      </c>
      <c r="V156">
        <f t="shared" si="48"/>
        <v>16</v>
      </c>
      <c r="W156" t="str">
        <f t="shared" si="49"/>
        <v>ACCURATE REPORTS</v>
      </c>
      <c r="X156" t="str">
        <f t="shared" si="50"/>
        <v>accurate reports</v>
      </c>
      <c r="Y156" t="str">
        <f t="shared" si="51"/>
        <v>Accurate Reports</v>
      </c>
      <c r="AA156" t="e">
        <f t="shared" si="52"/>
        <v>#VALUE!</v>
      </c>
      <c r="AB156" t="e">
        <f t="shared" si="53"/>
        <v>#VALUE!</v>
      </c>
    </row>
    <row r="157" spans="1:28">
      <c r="A157" t="s">
        <v>650</v>
      </c>
      <c r="B157" t="s">
        <v>88</v>
      </c>
      <c r="C157" t="s">
        <v>41</v>
      </c>
      <c r="D157" t="str">
        <f t="shared" si="36"/>
        <v>Neha Kumar(E1156)-Finance</v>
      </c>
      <c r="E157" t="str">
        <f t="shared" si="37"/>
        <v>Finance</v>
      </c>
      <c r="F157" t="s">
        <v>27</v>
      </c>
      <c r="G157" t="s">
        <v>651</v>
      </c>
      <c r="H157" t="str">
        <f t="shared" si="38"/>
        <v>Wednesday</v>
      </c>
      <c r="I157" t="str">
        <f t="shared" si="39"/>
        <v>Wed</v>
      </c>
      <c r="J157" t="str">
        <f t="shared" si="40"/>
        <v>day</v>
      </c>
      <c r="K157" t="str">
        <f t="shared" si="41"/>
        <v>Dec</v>
      </c>
      <c r="L157">
        <f t="shared" si="42"/>
        <v>2021</v>
      </c>
      <c r="M157" t="s">
        <v>652</v>
      </c>
      <c r="N157">
        <f t="shared" si="43"/>
        <v>48</v>
      </c>
      <c r="O157">
        <f t="shared" si="44"/>
        <v>9</v>
      </c>
      <c r="P157">
        <f t="shared" si="45"/>
        <v>10</v>
      </c>
      <c r="Q157">
        <v>79689</v>
      </c>
      <c r="R157">
        <v>89751</v>
      </c>
      <c r="S157" t="str">
        <f t="shared" si="46"/>
        <v>high target</v>
      </c>
      <c r="T157" t="str">
        <f t="shared" si="47"/>
        <v>high target</v>
      </c>
      <c r="U157" t="s">
        <v>112</v>
      </c>
      <c r="V157">
        <f t="shared" si="48"/>
        <v>14</v>
      </c>
      <c r="W157" t="str">
        <f t="shared" si="49"/>
        <v>QUICK RESPONSE</v>
      </c>
      <c r="X157" t="str">
        <f t="shared" si="50"/>
        <v>quick response</v>
      </c>
      <c r="Y157" t="str">
        <f t="shared" si="51"/>
        <v>Quick Response</v>
      </c>
      <c r="AA157" t="e">
        <f t="shared" si="52"/>
        <v>#VALUE!</v>
      </c>
      <c r="AB157" t="e">
        <f t="shared" si="53"/>
        <v>#VALUE!</v>
      </c>
    </row>
    <row r="158" spans="1:28">
      <c r="A158" t="s">
        <v>653</v>
      </c>
      <c r="B158" t="s">
        <v>654</v>
      </c>
      <c r="C158" t="s">
        <v>26</v>
      </c>
      <c r="D158" t="str">
        <f t="shared" si="36"/>
        <v>Harsh Agarwal(E1157)-Marketing</v>
      </c>
      <c r="E158" t="str">
        <f t="shared" si="37"/>
        <v>Marketing</v>
      </c>
      <c r="F158" t="s">
        <v>79</v>
      </c>
      <c r="G158" t="s">
        <v>655</v>
      </c>
      <c r="H158" t="str">
        <f t="shared" si="38"/>
        <v>Saturday</v>
      </c>
      <c r="I158" t="str">
        <f t="shared" si="39"/>
        <v>Sat</v>
      </c>
      <c r="J158" t="str">
        <f t="shared" si="40"/>
        <v>day</v>
      </c>
      <c r="K158" t="str">
        <f t="shared" si="41"/>
        <v>Oct</v>
      </c>
      <c r="L158">
        <f t="shared" si="42"/>
        <v>2024</v>
      </c>
      <c r="M158" t="s">
        <v>656</v>
      </c>
      <c r="N158">
        <f t="shared" si="43"/>
        <v>40</v>
      </c>
      <c r="O158">
        <f t="shared" si="44"/>
        <v>41</v>
      </c>
      <c r="P158">
        <f t="shared" si="45"/>
        <v>10</v>
      </c>
      <c r="Q158">
        <v>87109</v>
      </c>
      <c r="R158">
        <v>80928</v>
      </c>
      <c r="S158" t="str">
        <f t="shared" si="46"/>
        <v>high target</v>
      </c>
      <c r="T158" t="str">
        <f t="shared" si="47"/>
        <v>high target</v>
      </c>
      <c r="U158" t="s">
        <v>213</v>
      </c>
      <c r="V158">
        <f t="shared" si="48"/>
        <v>17</v>
      </c>
      <c r="W158" t="str">
        <f t="shared" si="49"/>
        <v>POSITIVE ATTITUDE</v>
      </c>
      <c r="X158" t="str">
        <f t="shared" si="50"/>
        <v>positive attitude</v>
      </c>
      <c r="Y158" t="str">
        <f t="shared" si="51"/>
        <v>Positive Attitude</v>
      </c>
      <c r="AA158" t="e">
        <f t="shared" si="52"/>
        <v>#VALUE!</v>
      </c>
      <c r="AB158" t="e">
        <f t="shared" si="53"/>
        <v>#VALUE!</v>
      </c>
    </row>
    <row r="159" spans="1:28">
      <c r="A159" t="s">
        <v>657</v>
      </c>
      <c r="B159" t="s">
        <v>658</v>
      </c>
      <c r="C159" t="s">
        <v>53</v>
      </c>
      <c r="D159" t="str">
        <f t="shared" si="36"/>
        <v>Yash Iyer(E1158)-HR</v>
      </c>
      <c r="E159" t="str">
        <f t="shared" si="37"/>
        <v>HR</v>
      </c>
      <c r="F159" t="s">
        <v>79</v>
      </c>
      <c r="G159" t="s">
        <v>659</v>
      </c>
      <c r="H159" t="str">
        <f t="shared" si="38"/>
        <v>Thursday</v>
      </c>
      <c r="I159" t="str">
        <f t="shared" si="39"/>
        <v>Thu</v>
      </c>
      <c r="J159" t="str">
        <f t="shared" si="40"/>
        <v>day</v>
      </c>
      <c r="K159" t="str">
        <f t="shared" si="41"/>
        <v>May</v>
      </c>
      <c r="L159">
        <f t="shared" si="42"/>
        <v>2021</v>
      </c>
      <c r="M159" t="s">
        <v>660</v>
      </c>
      <c r="N159">
        <f t="shared" si="43"/>
        <v>40</v>
      </c>
      <c r="O159">
        <f t="shared" si="44"/>
        <v>28</v>
      </c>
      <c r="P159">
        <f t="shared" si="45"/>
        <v>9</v>
      </c>
      <c r="Q159">
        <v>62846</v>
      </c>
      <c r="R159">
        <v>59845</v>
      </c>
      <c r="S159" t="str">
        <f t="shared" si="46"/>
        <v>high target</v>
      </c>
      <c r="T159" t="str">
        <f t="shared" si="47"/>
        <v>mid target</v>
      </c>
      <c r="U159" t="s">
        <v>15</v>
      </c>
      <c r="V159">
        <f t="shared" si="48"/>
        <v>20</v>
      </c>
      <c r="W159" t="str">
        <f t="shared" si="49"/>
        <v>EXCELLENT LEADERSHIP</v>
      </c>
      <c r="X159" t="str">
        <f t="shared" si="50"/>
        <v>excellent leadership</v>
      </c>
      <c r="Y159" t="str">
        <f t="shared" si="51"/>
        <v>Excellent Leadership</v>
      </c>
      <c r="AA159" t="e">
        <f t="shared" si="52"/>
        <v>#VALUE!</v>
      </c>
      <c r="AB159" t="e">
        <f t="shared" si="53"/>
        <v>#VALUE!</v>
      </c>
    </row>
    <row r="160" spans="1:28">
      <c r="A160" t="s">
        <v>661</v>
      </c>
      <c r="B160" t="s">
        <v>540</v>
      </c>
      <c r="C160" t="s">
        <v>11</v>
      </c>
      <c r="D160" t="str">
        <f t="shared" si="36"/>
        <v>Priya Reddy(E1159)-Sales</v>
      </c>
      <c r="E160" t="str">
        <f t="shared" si="37"/>
        <v>Sales</v>
      </c>
      <c r="F160" t="s">
        <v>12</v>
      </c>
      <c r="G160" t="s">
        <v>662</v>
      </c>
      <c r="H160" t="str">
        <f t="shared" si="38"/>
        <v>Friday</v>
      </c>
      <c r="I160" t="str">
        <f t="shared" si="39"/>
        <v>Fri</v>
      </c>
      <c r="J160" t="str">
        <f t="shared" si="40"/>
        <v>day</v>
      </c>
      <c r="K160" t="str">
        <f t="shared" si="41"/>
        <v>Aug</v>
      </c>
      <c r="L160">
        <f t="shared" si="42"/>
        <v>2023</v>
      </c>
      <c r="M160" t="s">
        <v>663</v>
      </c>
      <c r="N160">
        <f t="shared" si="43"/>
        <v>3</v>
      </c>
      <c r="O160">
        <f t="shared" si="44"/>
        <v>2</v>
      </c>
      <c r="P160">
        <f t="shared" si="45"/>
        <v>9</v>
      </c>
      <c r="Q160">
        <v>67978</v>
      </c>
      <c r="R160">
        <v>64165</v>
      </c>
      <c r="S160" t="str">
        <f t="shared" si="46"/>
        <v>high target</v>
      </c>
      <c r="T160" t="str">
        <f t="shared" si="47"/>
        <v>mid target</v>
      </c>
      <c r="U160" t="s">
        <v>37</v>
      </c>
      <c r="V160">
        <f t="shared" si="48"/>
        <v>18</v>
      </c>
      <c r="W160" t="str">
        <f t="shared" si="49"/>
        <v>GOOD COMMUNICATION</v>
      </c>
      <c r="X160" t="str">
        <f t="shared" si="50"/>
        <v>good communication</v>
      </c>
      <c r="Y160" t="str">
        <f t="shared" si="51"/>
        <v>Good Communication</v>
      </c>
      <c r="AA160" t="e">
        <f t="shared" si="52"/>
        <v>#VALUE!</v>
      </c>
      <c r="AB160" t="e">
        <f t="shared" si="53"/>
        <v>#VALUE!</v>
      </c>
    </row>
    <row r="161" spans="1:28">
      <c r="A161" t="s">
        <v>664</v>
      </c>
      <c r="B161" t="s">
        <v>665</v>
      </c>
      <c r="C161" t="s">
        <v>26</v>
      </c>
      <c r="D161" t="str">
        <f t="shared" si="36"/>
        <v>Yash Verma(E1160)-Marketing</v>
      </c>
      <c r="E161" t="str">
        <f t="shared" si="37"/>
        <v>Marketing</v>
      </c>
      <c r="F161" t="s">
        <v>79</v>
      </c>
      <c r="G161" t="s">
        <v>666</v>
      </c>
      <c r="H161" t="str">
        <f t="shared" si="38"/>
        <v>Wednesday</v>
      </c>
      <c r="I161" t="str">
        <f t="shared" si="39"/>
        <v>Wed</v>
      </c>
      <c r="J161" t="str">
        <f t="shared" si="40"/>
        <v>day</v>
      </c>
      <c r="K161" t="str">
        <f t="shared" si="41"/>
        <v>Apr</v>
      </c>
      <c r="L161">
        <f t="shared" si="42"/>
        <v>2024</v>
      </c>
      <c r="M161" t="s">
        <v>667</v>
      </c>
      <c r="N161">
        <f t="shared" si="43"/>
        <v>47</v>
      </c>
      <c r="O161">
        <f t="shared" si="44"/>
        <v>50</v>
      </c>
      <c r="P161">
        <f t="shared" si="45"/>
        <v>10</v>
      </c>
      <c r="Q161">
        <v>86400</v>
      </c>
      <c r="R161">
        <v>98712</v>
      </c>
      <c r="S161" t="str">
        <f t="shared" si="46"/>
        <v>high target</v>
      </c>
      <c r="T161" t="str">
        <f t="shared" si="47"/>
        <v>high target</v>
      </c>
      <c r="U161" t="s">
        <v>56</v>
      </c>
      <c r="V161">
        <f t="shared" si="48"/>
        <v>16</v>
      </c>
      <c r="W161" t="str">
        <f t="shared" si="49"/>
        <v>HELPFUL ATTITUDE</v>
      </c>
      <c r="X161" t="str">
        <f t="shared" si="50"/>
        <v>helpful attitude</v>
      </c>
      <c r="Y161" t="str">
        <f t="shared" si="51"/>
        <v>Helpful Attitude</v>
      </c>
      <c r="AA161" t="e">
        <f t="shared" si="52"/>
        <v>#VALUE!</v>
      </c>
      <c r="AB161" t="e">
        <f t="shared" si="53"/>
        <v>#VALUE!</v>
      </c>
    </row>
    <row r="162" spans="1:28">
      <c r="A162" t="s">
        <v>668</v>
      </c>
      <c r="B162" t="s">
        <v>484</v>
      </c>
      <c r="C162" t="s">
        <v>53</v>
      </c>
      <c r="D162" t="str">
        <f t="shared" si="36"/>
        <v>Madhuri Mishra(E1161)-HR</v>
      </c>
      <c r="E162" t="str">
        <f t="shared" si="37"/>
        <v>HR</v>
      </c>
      <c r="F162" t="s">
        <v>34</v>
      </c>
      <c r="G162" t="s">
        <v>669</v>
      </c>
      <c r="H162" t="str">
        <f t="shared" si="38"/>
        <v>Friday</v>
      </c>
      <c r="I162" t="str">
        <f t="shared" si="39"/>
        <v>Fri</v>
      </c>
      <c r="J162" t="str">
        <f t="shared" si="40"/>
        <v>day</v>
      </c>
      <c r="K162" t="str">
        <f t="shared" si="41"/>
        <v>May</v>
      </c>
      <c r="L162">
        <f t="shared" si="42"/>
        <v>2024</v>
      </c>
      <c r="M162" t="s">
        <v>670</v>
      </c>
      <c r="N162">
        <f t="shared" si="43"/>
        <v>9</v>
      </c>
      <c r="O162">
        <f t="shared" si="44"/>
        <v>32</v>
      </c>
      <c r="P162">
        <f t="shared" si="45"/>
        <v>9</v>
      </c>
      <c r="Q162">
        <v>58579</v>
      </c>
      <c r="R162">
        <v>44054</v>
      </c>
      <c r="S162" t="str">
        <f t="shared" si="46"/>
        <v>low target</v>
      </c>
      <c r="T162" t="str">
        <f t="shared" si="47"/>
        <v>mid target</v>
      </c>
      <c r="U162" t="s">
        <v>37</v>
      </c>
      <c r="V162">
        <f t="shared" si="48"/>
        <v>18</v>
      </c>
      <c r="W162" t="str">
        <f t="shared" si="49"/>
        <v>GOOD COMMUNICATION</v>
      </c>
      <c r="X162" t="str">
        <f t="shared" si="50"/>
        <v>good communication</v>
      </c>
      <c r="Y162" t="str">
        <f t="shared" si="51"/>
        <v>Good Communication</v>
      </c>
      <c r="AA162" t="e">
        <f t="shared" si="52"/>
        <v>#VALUE!</v>
      </c>
      <c r="AB162" t="e">
        <f t="shared" si="53"/>
        <v>#VALUE!</v>
      </c>
    </row>
    <row r="163" spans="1:28">
      <c r="A163" t="s">
        <v>671</v>
      </c>
      <c r="B163" t="s">
        <v>672</v>
      </c>
      <c r="C163" t="s">
        <v>11</v>
      </c>
      <c r="D163" t="str">
        <f t="shared" si="36"/>
        <v>Tanya Iyer(E1162)-Sales</v>
      </c>
      <c r="E163" t="str">
        <f t="shared" si="37"/>
        <v>Sales</v>
      </c>
      <c r="F163" t="s">
        <v>65</v>
      </c>
      <c r="G163" t="s">
        <v>673</v>
      </c>
      <c r="H163" t="str">
        <f t="shared" si="38"/>
        <v>Monday</v>
      </c>
      <c r="I163" t="str">
        <f t="shared" si="39"/>
        <v>Mon</v>
      </c>
      <c r="J163" t="str">
        <f t="shared" si="40"/>
        <v>day</v>
      </c>
      <c r="K163" t="str">
        <f t="shared" si="41"/>
        <v>Mar</v>
      </c>
      <c r="L163">
        <f t="shared" si="42"/>
        <v>2021</v>
      </c>
      <c r="M163" t="s">
        <v>674</v>
      </c>
      <c r="N163">
        <f t="shared" si="43"/>
        <v>28</v>
      </c>
      <c r="O163">
        <f t="shared" si="44"/>
        <v>45</v>
      </c>
      <c r="P163">
        <f t="shared" si="45"/>
        <v>8</v>
      </c>
      <c r="Q163">
        <v>88142</v>
      </c>
      <c r="R163">
        <v>68797</v>
      </c>
      <c r="S163" t="str">
        <f t="shared" si="46"/>
        <v>high target</v>
      </c>
      <c r="T163" t="str">
        <f t="shared" si="47"/>
        <v>mid target</v>
      </c>
      <c r="U163" t="s">
        <v>44</v>
      </c>
      <c r="V163">
        <f t="shared" si="48"/>
        <v>19</v>
      </c>
      <c r="W163" t="str">
        <f t="shared" si="49"/>
        <v>STRONG PRESENTATION</v>
      </c>
      <c r="X163" t="str">
        <f t="shared" si="50"/>
        <v>strong presentation</v>
      </c>
      <c r="Y163" t="str">
        <f t="shared" si="51"/>
        <v>Strong Presentation</v>
      </c>
      <c r="AA163" t="e">
        <f t="shared" si="52"/>
        <v>#VALUE!</v>
      </c>
      <c r="AB163" t="e">
        <f t="shared" si="53"/>
        <v>#VALUE!</v>
      </c>
    </row>
    <row r="164" spans="1:28">
      <c r="A164" t="s">
        <v>675</v>
      </c>
      <c r="B164" t="s">
        <v>676</v>
      </c>
      <c r="C164" t="s">
        <v>41</v>
      </c>
      <c r="D164" t="str">
        <f t="shared" si="36"/>
        <v>Shreya Joshi(E1163)-Finance</v>
      </c>
      <c r="E164" t="str">
        <f t="shared" si="37"/>
        <v>Finance</v>
      </c>
      <c r="F164" t="s">
        <v>34</v>
      </c>
      <c r="G164" t="s">
        <v>677</v>
      </c>
      <c r="H164" t="str">
        <f t="shared" si="38"/>
        <v>Wednesday</v>
      </c>
      <c r="I164" t="str">
        <f t="shared" si="39"/>
        <v>Wed</v>
      </c>
      <c r="J164" t="str">
        <f t="shared" si="40"/>
        <v>day</v>
      </c>
      <c r="K164" t="str">
        <f t="shared" si="41"/>
        <v>Aug</v>
      </c>
      <c r="L164">
        <f t="shared" si="42"/>
        <v>2022</v>
      </c>
      <c r="M164" t="s">
        <v>678</v>
      </c>
      <c r="N164">
        <f t="shared" si="43"/>
        <v>49</v>
      </c>
      <c r="O164">
        <f t="shared" si="44"/>
        <v>26</v>
      </c>
      <c r="P164">
        <f t="shared" si="45"/>
        <v>9</v>
      </c>
      <c r="Q164">
        <v>50606</v>
      </c>
      <c r="R164">
        <v>62175</v>
      </c>
      <c r="S164" t="str">
        <f t="shared" si="46"/>
        <v>high target</v>
      </c>
      <c r="T164" t="str">
        <f t="shared" si="47"/>
        <v>mid target</v>
      </c>
      <c r="U164" t="s">
        <v>30</v>
      </c>
      <c r="V164">
        <f t="shared" si="48"/>
        <v>16</v>
      </c>
      <c r="W164" t="str">
        <f t="shared" si="49"/>
        <v>CUSTOMER FOCUSED</v>
      </c>
      <c r="X164" t="str">
        <f t="shared" si="50"/>
        <v>customer focused</v>
      </c>
      <c r="Y164" t="str">
        <f t="shared" si="51"/>
        <v>Customer Focused</v>
      </c>
      <c r="AA164" t="e">
        <f t="shared" si="52"/>
        <v>#VALUE!</v>
      </c>
      <c r="AB164" t="e">
        <f t="shared" si="53"/>
        <v>#VALUE!</v>
      </c>
    </row>
    <row r="165" spans="1:28">
      <c r="A165" t="s">
        <v>679</v>
      </c>
      <c r="B165" t="s">
        <v>658</v>
      </c>
      <c r="C165" t="s">
        <v>11</v>
      </c>
      <c r="D165" t="str">
        <f t="shared" si="36"/>
        <v>Yash Iyer(E1164)-Sales</v>
      </c>
      <c r="E165" t="str">
        <f t="shared" si="37"/>
        <v>Sales</v>
      </c>
      <c r="F165" t="s">
        <v>34</v>
      </c>
      <c r="G165" t="s">
        <v>680</v>
      </c>
      <c r="H165" t="str">
        <f t="shared" si="38"/>
        <v>Tuesday</v>
      </c>
      <c r="I165" t="str">
        <f t="shared" si="39"/>
        <v>Tue</v>
      </c>
      <c r="J165" t="str">
        <f t="shared" si="40"/>
        <v>day</v>
      </c>
      <c r="K165" t="str">
        <f t="shared" si="41"/>
        <v>Jul</v>
      </c>
      <c r="L165">
        <f t="shared" si="42"/>
        <v>2021</v>
      </c>
      <c r="M165" t="s">
        <v>681</v>
      </c>
      <c r="N165">
        <f t="shared" si="43"/>
        <v>24</v>
      </c>
      <c r="O165">
        <f t="shared" si="44"/>
        <v>43</v>
      </c>
      <c r="P165">
        <f t="shared" si="45"/>
        <v>10</v>
      </c>
      <c r="Q165">
        <v>60135</v>
      </c>
      <c r="R165">
        <v>58621</v>
      </c>
      <c r="S165" t="str">
        <f t="shared" si="46"/>
        <v>high target</v>
      </c>
      <c r="T165" t="str">
        <f t="shared" si="47"/>
        <v>mid target</v>
      </c>
      <c r="U165" t="s">
        <v>22</v>
      </c>
      <c r="V165">
        <f t="shared" si="48"/>
        <v>13</v>
      </c>
      <c r="W165" t="str">
        <f t="shared" si="49"/>
        <v>FAST DELIVERY</v>
      </c>
      <c r="X165" t="str">
        <f t="shared" si="50"/>
        <v>fast delivery</v>
      </c>
      <c r="Y165" t="str">
        <f t="shared" si="51"/>
        <v>Fast Delivery</v>
      </c>
      <c r="AA165" t="e">
        <f t="shared" si="52"/>
        <v>#VALUE!</v>
      </c>
      <c r="AB165" t="e">
        <f t="shared" si="53"/>
        <v>#VALUE!</v>
      </c>
    </row>
    <row r="166" spans="1:28">
      <c r="A166" t="s">
        <v>682</v>
      </c>
      <c r="B166" t="s">
        <v>683</v>
      </c>
      <c r="C166" t="s">
        <v>53</v>
      </c>
      <c r="D166" t="str">
        <f t="shared" si="36"/>
        <v>Isha Jain(E1165)-HR</v>
      </c>
      <c r="E166" t="str">
        <f t="shared" si="37"/>
        <v>HR</v>
      </c>
      <c r="F166" t="s">
        <v>34</v>
      </c>
      <c r="G166" t="s">
        <v>684</v>
      </c>
      <c r="H166" t="str">
        <f t="shared" si="38"/>
        <v>Wednesday</v>
      </c>
      <c r="I166" t="str">
        <f t="shared" si="39"/>
        <v>Wed</v>
      </c>
      <c r="J166" t="str">
        <f t="shared" si="40"/>
        <v>day</v>
      </c>
      <c r="K166" t="str">
        <f t="shared" si="41"/>
        <v>Jun</v>
      </c>
      <c r="L166">
        <f t="shared" si="42"/>
        <v>2021</v>
      </c>
      <c r="M166" t="s">
        <v>685</v>
      </c>
      <c r="N166">
        <f t="shared" si="43"/>
        <v>9</v>
      </c>
      <c r="O166">
        <f t="shared" si="44"/>
        <v>42</v>
      </c>
      <c r="P166">
        <f t="shared" si="45"/>
        <v>10</v>
      </c>
      <c r="Q166">
        <v>68256</v>
      </c>
      <c r="R166">
        <v>62925</v>
      </c>
      <c r="S166" t="str">
        <f t="shared" si="46"/>
        <v>high target</v>
      </c>
      <c r="T166" t="str">
        <f t="shared" si="47"/>
        <v>mid target</v>
      </c>
      <c r="U166" t="s">
        <v>68</v>
      </c>
      <c r="V166">
        <f t="shared" si="48"/>
        <v>13</v>
      </c>
      <c r="W166" t="str">
        <f t="shared" si="49"/>
        <v>GOOD TEAMWORK</v>
      </c>
      <c r="X166" t="str">
        <f t="shared" si="50"/>
        <v>good teamwork</v>
      </c>
      <c r="Y166" t="str">
        <f t="shared" si="51"/>
        <v>Good Teamwork</v>
      </c>
      <c r="AA166" t="e">
        <f t="shared" si="52"/>
        <v>#VALUE!</v>
      </c>
      <c r="AB166" t="e">
        <f t="shared" si="53"/>
        <v>#VALUE!</v>
      </c>
    </row>
    <row r="167" spans="1:28">
      <c r="A167" t="s">
        <v>686</v>
      </c>
      <c r="B167" t="s">
        <v>687</v>
      </c>
      <c r="C167" t="s">
        <v>53</v>
      </c>
      <c r="D167" t="str">
        <f t="shared" si="36"/>
        <v>Siddharth Bansal(E1166)-HR</v>
      </c>
      <c r="E167" t="str">
        <f t="shared" si="37"/>
        <v>HR</v>
      </c>
      <c r="F167" t="s">
        <v>19</v>
      </c>
      <c r="G167" t="s">
        <v>688</v>
      </c>
      <c r="H167" t="str">
        <f t="shared" si="38"/>
        <v>Tuesday</v>
      </c>
      <c r="I167" t="str">
        <f t="shared" si="39"/>
        <v>Tue</v>
      </c>
      <c r="J167" t="str">
        <f t="shared" si="40"/>
        <v>day</v>
      </c>
      <c r="K167" t="str">
        <f t="shared" si="41"/>
        <v>Sep</v>
      </c>
      <c r="L167">
        <f t="shared" si="42"/>
        <v>2022</v>
      </c>
      <c r="M167" t="s">
        <v>689</v>
      </c>
      <c r="N167">
        <f t="shared" si="43"/>
        <v>41</v>
      </c>
      <c r="O167">
        <f t="shared" si="44"/>
        <v>24</v>
      </c>
      <c r="P167">
        <f t="shared" si="45"/>
        <v>10</v>
      </c>
      <c r="Q167">
        <v>98409</v>
      </c>
      <c r="R167">
        <v>91882</v>
      </c>
      <c r="S167" t="str">
        <f t="shared" si="46"/>
        <v>high target</v>
      </c>
      <c r="T167" t="str">
        <f t="shared" si="47"/>
        <v>high target</v>
      </c>
      <c r="U167" t="s">
        <v>213</v>
      </c>
      <c r="V167">
        <f t="shared" si="48"/>
        <v>17</v>
      </c>
      <c r="W167" t="str">
        <f t="shared" si="49"/>
        <v>POSITIVE ATTITUDE</v>
      </c>
      <c r="X167" t="str">
        <f t="shared" si="50"/>
        <v>positive attitude</v>
      </c>
      <c r="Y167" t="str">
        <f t="shared" si="51"/>
        <v>Positive Attitude</v>
      </c>
      <c r="AA167" t="e">
        <f t="shared" si="52"/>
        <v>#VALUE!</v>
      </c>
      <c r="AB167" t="e">
        <f t="shared" si="53"/>
        <v>#VALUE!</v>
      </c>
    </row>
    <row r="168" spans="1:28">
      <c r="A168" t="s">
        <v>690</v>
      </c>
      <c r="B168" t="s">
        <v>691</v>
      </c>
      <c r="C168" t="s">
        <v>11</v>
      </c>
      <c r="D168" t="str">
        <f t="shared" si="36"/>
        <v>Arjun Saxena(E1167)-Sales</v>
      </c>
      <c r="E168" t="str">
        <f t="shared" si="37"/>
        <v>Sales</v>
      </c>
      <c r="F168" t="s">
        <v>89</v>
      </c>
      <c r="G168" t="s">
        <v>692</v>
      </c>
      <c r="H168" t="str">
        <f t="shared" si="38"/>
        <v>Wednesday</v>
      </c>
      <c r="I168" t="str">
        <f t="shared" si="39"/>
        <v>Wed</v>
      </c>
      <c r="J168" t="str">
        <f t="shared" si="40"/>
        <v>day</v>
      </c>
      <c r="K168" t="str">
        <f t="shared" si="41"/>
        <v>Nov</v>
      </c>
      <c r="L168">
        <f t="shared" si="42"/>
        <v>2023</v>
      </c>
      <c r="M168" t="s">
        <v>693</v>
      </c>
      <c r="N168">
        <f t="shared" si="43"/>
        <v>23</v>
      </c>
      <c r="O168">
        <f t="shared" si="44"/>
        <v>1</v>
      </c>
      <c r="P168">
        <f t="shared" si="45"/>
        <v>9</v>
      </c>
      <c r="Q168">
        <v>57054</v>
      </c>
      <c r="R168">
        <v>60241</v>
      </c>
      <c r="S168" t="str">
        <f t="shared" si="46"/>
        <v>high target</v>
      </c>
      <c r="T168" t="str">
        <f t="shared" si="47"/>
        <v>mid target</v>
      </c>
      <c r="U168" t="s">
        <v>75</v>
      </c>
      <c r="V168">
        <f t="shared" si="48"/>
        <v>16</v>
      </c>
      <c r="W168" t="str">
        <f t="shared" si="49"/>
        <v>ACCURATE REPORTS</v>
      </c>
      <c r="X168" t="str">
        <f t="shared" si="50"/>
        <v>accurate reports</v>
      </c>
      <c r="Y168" t="str">
        <f t="shared" si="51"/>
        <v>Accurate Reports</v>
      </c>
      <c r="AA168" t="e">
        <f t="shared" si="52"/>
        <v>#VALUE!</v>
      </c>
      <c r="AB168" t="e">
        <f t="shared" si="53"/>
        <v>#VALUE!</v>
      </c>
    </row>
    <row r="169" spans="1:28">
      <c r="A169" t="s">
        <v>694</v>
      </c>
      <c r="B169" t="s">
        <v>469</v>
      </c>
      <c r="C169" t="s">
        <v>53</v>
      </c>
      <c r="D169" t="str">
        <f t="shared" si="36"/>
        <v>Rohan Agarwal(E1168)-HR</v>
      </c>
      <c r="E169" t="str">
        <f t="shared" si="37"/>
        <v>HR</v>
      </c>
      <c r="F169" t="s">
        <v>27</v>
      </c>
      <c r="G169" t="s">
        <v>695</v>
      </c>
      <c r="H169" t="str">
        <f t="shared" si="38"/>
        <v>Saturday</v>
      </c>
      <c r="I169" t="str">
        <f t="shared" si="39"/>
        <v>Sat</v>
      </c>
      <c r="J169" t="str">
        <f t="shared" si="40"/>
        <v>day</v>
      </c>
      <c r="K169" t="str">
        <f t="shared" si="41"/>
        <v>Oct</v>
      </c>
      <c r="L169">
        <f t="shared" si="42"/>
        <v>2021</v>
      </c>
      <c r="M169" t="s">
        <v>696</v>
      </c>
      <c r="N169">
        <f t="shared" si="43"/>
        <v>18</v>
      </c>
      <c r="O169">
        <f t="shared" si="44"/>
        <v>4</v>
      </c>
      <c r="P169">
        <f t="shared" si="45"/>
        <v>8</v>
      </c>
      <c r="Q169">
        <v>86968</v>
      </c>
      <c r="R169">
        <v>95340</v>
      </c>
      <c r="S169" t="str">
        <f t="shared" si="46"/>
        <v>high target</v>
      </c>
      <c r="T169" t="str">
        <f t="shared" si="47"/>
        <v>high target</v>
      </c>
      <c r="U169" t="s">
        <v>44</v>
      </c>
      <c r="V169">
        <f t="shared" si="48"/>
        <v>19</v>
      </c>
      <c r="W169" t="str">
        <f t="shared" si="49"/>
        <v>STRONG PRESENTATION</v>
      </c>
      <c r="X169" t="str">
        <f t="shared" si="50"/>
        <v>strong presentation</v>
      </c>
      <c r="Y169" t="str">
        <f t="shared" si="51"/>
        <v>Strong Presentation</v>
      </c>
      <c r="AA169" t="e">
        <f t="shared" si="52"/>
        <v>#VALUE!</v>
      </c>
      <c r="AB169" t="e">
        <f t="shared" si="53"/>
        <v>#VALUE!</v>
      </c>
    </row>
    <row r="170" spans="1:28">
      <c r="A170" t="s">
        <v>697</v>
      </c>
      <c r="B170" t="s">
        <v>206</v>
      </c>
      <c r="C170" t="s">
        <v>11</v>
      </c>
      <c r="D170" t="str">
        <f t="shared" si="36"/>
        <v>Harsh Goyal(E1169)-Sales</v>
      </c>
      <c r="E170" t="str">
        <f t="shared" si="37"/>
        <v>Sales</v>
      </c>
      <c r="F170" t="s">
        <v>34</v>
      </c>
      <c r="G170" t="s">
        <v>698</v>
      </c>
      <c r="H170" t="str">
        <f t="shared" si="38"/>
        <v>Wednesday</v>
      </c>
      <c r="I170" t="str">
        <f t="shared" si="39"/>
        <v>Wed</v>
      </c>
      <c r="J170" t="str">
        <f t="shared" si="40"/>
        <v>day</v>
      </c>
      <c r="K170" t="str">
        <f t="shared" si="41"/>
        <v>Jun</v>
      </c>
      <c r="L170">
        <f t="shared" si="42"/>
        <v>2024</v>
      </c>
      <c r="M170" t="s">
        <v>699</v>
      </c>
      <c r="N170">
        <f t="shared" si="43"/>
        <v>24</v>
      </c>
      <c r="O170">
        <f t="shared" si="44"/>
        <v>38</v>
      </c>
      <c r="P170">
        <f t="shared" si="45"/>
        <v>8</v>
      </c>
      <c r="Q170">
        <v>45742</v>
      </c>
      <c r="R170">
        <v>50109</v>
      </c>
      <c r="S170" t="str">
        <f t="shared" si="46"/>
        <v>high target</v>
      </c>
      <c r="T170" t="str">
        <f t="shared" si="47"/>
        <v>mid target</v>
      </c>
      <c r="U170" t="s">
        <v>112</v>
      </c>
      <c r="V170">
        <f t="shared" si="48"/>
        <v>14</v>
      </c>
      <c r="W170" t="str">
        <f t="shared" si="49"/>
        <v>QUICK RESPONSE</v>
      </c>
      <c r="X170" t="str">
        <f t="shared" si="50"/>
        <v>quick response</v>
      </c>
      <c r="Y170" t="str">
        <f t="shared" si="51"/>
        <v>Quick Response</v>
      </c>
      <c r="AA170" t="e">
        <f t="shared" si="52"/>
        <v>#VALUE!</v>
      </c>
      <c r="AB170" t="e">
        <f t="shared" si="53"/>
        <v>#VALUE!</v>
      </c>
    </row>
    <row r="171" spans="1:28">
      <c r="A171" t="s">
        <v>700</v>
      </c>
      <c r="B171" t="s">
        <v>701</v>
      </c>
      <c r="C171" t="s">
        <v>53</v>
      </c>
      <c r="D171" t="str">
        <f t="shared" si="36"/>
        <v>Varun Jain(E1170)-HR</v>
      </c>
      <c r="E171" t="str">
        <f t="shared" si="37"/>
        <v>HR</v>
      </c>
      <c r="F171" t="s">
        <v>79</v>
      </c>
      <c r="G171" t="s">
        <v>702</v>
      </c>
      <c r="H171" t="str">
        <f t="shared" si="38"/>
        <v>Wednesday</v>
      </c>
      <c r="I171" t="str">
        <f t="shared" si="39"/>
        <v>Wed</v>
      </c>
      <c r="J171" t="str">
        <f t="shared" si="40"/>
        <v>day</v>
      </c>
      <c r="K171" t="str">
        <f t="shared" si="41"/>
        <v>Mar</v>
      </c>
      <c r="L171">
        <f t="shared" si="42"/>
        <v>2021</v>
      </c>
      <c r="M171" t="s">
        <v>703</v>
      </c>
      <c r="N171">
        <f t="shared" si="43"/>
        <v>43</v>
      </c>
      <c r="O171">
        <f t="shared" si="44"/>
        <v>23</v>
      </c>
      <c r="P171">
        <f t="shared" si="45"/>
        <v>9</v>
      </c>
      <c r="Q171">
        <v>87724</v>
      </c>
      <c r="R171">
        <v>87158</v>
      </c>
      <c r="S171" t="str">
        <f t="shared" si="46"/>
        <v>high target</v>
      </c>
      <c r="T171" t="str">
        <f t="shared" si="47"/>
        <v>high target</v>
      </c>
      <c r="U171" t="s">
        <v>56</v>
      </c>
      <c r="V171">
        <f t="shared" si="48"/>
        <v>16</v>
      </c>
      <c r="W171" t="str">
        <f t="shared" si="49"/>
        <v>HELPFUL ATTITUDE</v>
      </c>
      <c r="X171" t="str">
        <f t="shared" si="50"/>
        <v>helpful attitude</v>
      </c>
      <c r="Y171" t="str">
        <f t="shared" si="51"/>
        <v>Helpful Attitude</v>
      </c>
      <c r="AA171" t="e">
        <f t="shared" si="52"/>
        <v>#VALUE!</v>
      </c>
      <c r="AB171" t="e">
        <f t="shared" si="53"/>
        <v>#VALUE!</v>
      </c>
    </row>
    <row r="172" spans="1:28">
      <c r="A172" t="s">
        <v>704</v>
      </c>
      <c r="B172" t="s">
        <v>705</v>
      </c>
      <c r="C172" t="s">
        <v>26</v>
      </c>
      <c r="D172" t="str">
        <f t="shared" si="36"/>
        <v>Shreya Gupta(E1171)-Marketing</v>
      </c>
      <c r="E172" t="str">
        <f t="shared" si="37"/>
        <v>Marketing</v>
      </c>
      <c r="F172" t="s">
        <v>27</v>
      </c>
      <c r="G172" t="s">
        <v>706</v>
      </c>
      <c r="H172" t="str">
        <f t="shared" si="38"/>
        <v>Saturday</v>
      </c>
      <c r="I172" t="str">
        <f t="shared" si="39"/>
        <v>Sat</v>
      </c>
      <c r="J172" t="str">
        <f t="shared" si="40"/>
        <v>day</v>
      </c>
      <c r="K172" t="str">
        <f t="shared" si="41"/>
        <v>Dec</v>
      </c>
      <c r="L172">
        <f t="shared" si="42"/>
        <v>2023</v>
      </c>
      <c r="M172" t="s">
        <v>707</v>
      </c>
      <c r="N172">
        <f t="shared" si="43"/>
        <v>51</v>
      </c>
      <c r="O172">
        <f t="shared" si="44"/>
        <v>19</v>
      </c>
      <c r="P172">
        <f t="shared" si="45"/>
        <v>8</v>
      </c>
      <c r="Q172">
        <v>107141</v>
      </c>
      <c r="R172">
        <v>91404</v>
      </c>
      <c r="S172" t="str">
        <f t="shared" si="46"/>
        <v>high target</v>
      </c>
      <c r="T172" t="str">
        <f t="shared" si="47"/>
        <v>high target</v>
      </c>
      <c r="U172" t="s">
        <v>487</v>
      </c>
      <c r="V172">
        <f t="shared" si="48"/>
        <v>13</v>
      </c>
      <c r="W172" t="str">
        <f t="shared" si="49"/>
        <v>GREAT SUPPORT</v>
      </c>
      <c r="X172" t="str">
        <f t="shared" si="50"/>
        <v>great support</v>
      </c>
      <c r="Y172" t="str">
        <f t="shared" si="51"/>
        <v>Great Support</v>
      </c>
      <c r="AA172" t="e">
        <f t="shared" si="52"/>
        <v>#VALUE!</v>
      </c>
      <c r="AB172" t="e">
        <f t="shared" si="53"/>
        <v>#VALUE!</v>
      </c>
    </row>
    <row r="173" spans="1:28">
      <c r="A173" t="s">
        <v>708</v>
      </c>
      <c r="B173" t="s">
        <v>709</v>
      </c>
      <c r="C173" t="s">
        <v>41</v>
      </c>
      <c r="D173" t="str">
        <f t="shared" si="36"/>
        <v>Varun Mehta(E1172)-Finance</v>
      </c>
      <c r="E173" t="str">
        <f t="shared" si="37"/>
        <v>Finance</v>
      </c>
      <c r="F173" t="s">
        <v>79</v>
      </c>
      <c r="G173" t="s">
        <v>662</v>
      </c>
      <c r="H173" t="str">
        <f t="shared" si="38"/>
        <v>Friday</v>
      </c>
      <c r="I173" t="str">
        <f t="shared" si="39"/>
        <v>Fri</v>
      </c>
      <c r="J173" t="str">
        <f t="shared" si="40"/>
        <v>day</v>
      </c>
      <c r="K173" t="str">
        <f t="shared" si="41"/>
        <v>Aug</v>
      </c>
      <c r="L173">
        <f t="shared" si="42"/>
        <v>2023</v>
      </c>
      <c r="M173" t="s">
        <v>710</v>
      </c>
      <c r="N173">
        <f t="shared" si="43"/>
        <v>24</v>
      </c>
      <c r="O173">
        <f t="shared" si="44"/>
        <v>49</v>
      </c>
      <c r="P173">
        <f t="shared" si="45"/>
        <v>9</v>
      </c>
      <c r="Q173">
        <v>92525</v>
      </c>
      <c r="R173">
        <v>72958</v>
      </c>
      <c r="S173" t="str">
        <f t="shared" si="46"/>
        <v>high target</v>
      </c>
      <c r="T173" t="str">
        <f t="shared" si="47"/>
        <v>high target</v>
      </c>
      <c r="U173" t="s">
        <v>168</v>
      </c>
      <c r="V173">
        <f t="shared" si="48"/>
        <v>17</v>
      </c>
      <c r="W173" t="str">
        <f t="shared" si="49"/>
        <v>DETAILED ANALYSIS</v>
      </c>
      <c r="X173" t="str">
        <f t="shared" si="50"/>
        <v>detailed analysis</v>
      </c>
      <c r="Y173" t="str">
        <f t="shared" si="51"/>
        <v>Detailed Analysis</v>
      </c>
      <c r="AA173" t="e">
        <f t="shared" si="52"/>
        <v>#VALUE!</v>
      </c>
      <c r="AB173" t="e">
        <f t="shared" si="53"/>
        <v>#VALUE!</v>
      </c>
    </row>
    <row r="174" spans="1:28">
      <c r="A174" t="s">
        <v>711</v>
      </c>
      <c r="B174" t="s">
        <v>712</v>
      </c>
      <c r="C174" t="s">
        <v>53</v>
      </c>
      <c r="D174" t="str">
        <f t="shared" si="36"/>
        <v>Sneha Mehta(E1173)-HR</v>
      </c>
      <c r="E174" t="str">
        <f t="shared" si="37"/>
        <v>HR</v>
      </c>
      <c r="F174" t="s">
        <v>12</v>
      </c>
      <c r="G174" t="s">
        <v>713</v>
      </c>
      <c r="H174" t="str">
        <f t="shared" si="38"/>
        <v>Saturday</v>
      </c>
      <c r="I174" t="str">
        <f t="shared" si="39"/>
        <v>Sat</v>
      </c>
      <c r="J174" t="str">
        <f t="shared" si="40"/>
        <v>day</v>
      </c>
      <c r="K174" t="str">
        <f t="shared" si="41"/>
        <v>Apr</v>
      </c>
      <c r="L174">
        <f t="shared" si="42"/>
        <v>2021</v>
      </c>
      <c r="M174" t="s">
        <v>714</v>
      </c>
      <c r="N174">
        <f t="shared" si="43"/>
        <v>55</v>
      </c>
      <c r="O174">
        <f t="shared" si="44"/>
        <v>30</v>
      </c>
      <c r="P174">
        <f t="shared" si="45"/>
        <v>10</v>
      </c>
      <c r="Q174">
        <v>56050</v>
      </c>
      <c r="R174">
        <v>64327</v>
      </c>
      <c r="S174" t="str">
        <f t="shared" si="46"/>
        <v>high target</v>
      </c>
      <c r="T174" t="str">
        <f t="shared" si="47"/>
        <v>mid target</v>
      </c>
      <c r="U174" t="s">
        <v>22</v>
      </c>
      <c r="V174">
        <f t="shared" si="48"/>
        <v>13</v>
      </c>
      <c r="W174" t="str">
        <f t="shared" si="49"/>
        <v>FAST DELIVERY</v>
      </c>
      <c r="X174" t="str">
        <f t="shared" si="50"/>
        <v>fast delivery</v>
      </c>
      <c r="Y174" t="str">
        <f t="shared" si="51"/>
        <v>Fast Delivery</v>
      </c>
      <c r="AA174" t="e">
        <f t="shared" si="52"/>
        <v>#VALUE!</v>
      </c>
      <c r="AB174" t="e">
        <f t="shared" si="53"/>
        <v>#VALUE!</v>
      </c>
    </row>
    <row r="175" spans="1:28">
      <c r="A175" t="s">
        <v>715</v>
      </c>
      <c r="B175" t="s">
        <v>716</v>
      </c>
      <c r="C175" t="s">
        <v>11</v>
      </c>
      <c r="D175" t="str">
        <f t="shared" si="36"/>
        <v>Isha Saxena(E1174)-Sales</v>
      </c>
      <c r="E175" t="str">
        <f t="shared" si="37"/>
        <v>Sales</v>
      </c>
      <c r="F175" t="s">
        <v>12</v>
      </c>
      <c r="G175" t="s">
        <v>717</v>
      </c>
      <c r="H175" t="str">
        <f t="shared" si="38"/>
        <v>Monday</v>
      </c>
      <c r="I175" t="str">
        <f t="shared" si="39"/>
        <v>Mon</v>
      </c>
      <c r="J175" t="str">
        <f t="shared" si="40"/>
        <v>day</v>
      </c>
      <c r="K175" t="str">
        <f t="shared" si="41"/>
        <v>Jun</v>
      </c>
      <c r="L175">
        <f t="shared" si="42"/>
        <v>2021</v>
      </c>
      <c r="M175" t="s">
        <v>273</v>
      </c>
      <c r="N175">
        <f t="shared" si="43"/>
        <v>28</v>
      </c>
      <c r="O175">
        <f t="shared" si="44"/>
        <v>17</v>
      </c>
      <c r="P175">
        <f t="shared" si="45"/>
        <v>8</v>
      </c>
      <c r="Q175">
        <v>117973</v>
      </c>
      <c r="R175">
        <v>99330</v>
      </c>
      <c r="S175" t="str">
        <f t="shared" si="46"/>
        <v>high target</v>
      </c>
      <c r="T175" t="str">
        <f t="shared" si="47"/>
        <v>high target</v>
      </c>
      <c r="U175" t="s">
        <v>112</v>
      </c>
      <c r="V175">
        <f t="shared" si="48"/>
        <v>14</v>
      </c>
      <c r="W175" t="str">
        <f t="shared" si="49"/>
        <v>QUICK RESPONSE</v>
      </c>
      <c r="X175" t="str">
        <f t="shared" si="50"/>
        <v>quick response</v>
      </c>
      <c r="Y175" t="str">
        <f t="shared" si="51"/>
        <v>Quick Response</v>
      </c>
      <c r="AA175" t="e">
        <f t="shared" si="52"/>
        <v>#VALUE!</v>
      </c>
      <c r="AB175" t="e">
        <f t="shared" si="53"/>
        <v>#VALUE!</v>
      </c>
    </row>
    <row r="176" spans="1:28">
      <c r="A176" t="s">
        <v>718</v>
      </c>
      <c r="B176" t="s">
        <v>719</v>
      </c>
      <c r="C176" t="s">
        <v>11</v>
      </c>
      <c r="D176" t="str">
        <f t="shared" si="36"/>
        <v>Varun Chopra(E1175)-Sales</v>
      </c>
      <c r="E176" t="str">
        <f t="shared" si="37"/>
        <v>Sales</v>
      </c>
      <c r="F176" t="s">
        <v>27</v>
      </c>
      <c r="G176" t="s">
        <v>720</v>
      </c>
      <c r="H176" t="str">
        <f t="shared" si="38"/>
        <v>Thursday</v>
      </c>
      <c r="I176" t="str">
        <f t="shared" si="39"/>
        <v>Thu</v>
      </c>
      <c r="J176" t="str">
        <f t="shared" si="40"/>
        <v>day</v>
      </c>
      <c r="K176" t="str">
        <f t="shared" si="41"/>
        <v>Jul</v>
      </c>
      <c r="L176">
        <f t="shared" si="42"/>
        <v>2023</v>
      </c>
      <c r="M176" t="s">
        <v>721</v>
      </c>
      <c r="N176">
        <f t="shared" si="43"/>
        <v>1</v>
      </c>
      <c r="O176">
        <f t="shared" si="44"/>
        <v>59</v>
      </c>
      <c r="P176">
        <f t="shared" si="45"/>
        <v>9</v>
      </c>
      <c r="Q176">
        <v>55680</v>
      </c>
      <c r="R176">
        <v>67190</v>
      </c>
      <c r="S176" t="str">
        <f t="shared" si="46"/>
        <v>high target</v>
      </c>
      <c r="T176" t="str">
        <f t="shared" si="47"/>
        <v>mid target</v>
      </c>
      <c r="U176" t="s">
        <v>168</v>
      </c>
      <c r="V176">
        <f t="shared" si="48"/>
        <v>17</v>
      </c>
      <c r="W176" t="str">
        <f t="shared" si="49"/>
        <v>DETAILED ANALYSIS</v>
      </c>
      <c r="X176" t="str">
        <f t="shared" si="50"/>
        <v>detailed analysis</v>
      </c>
      <c r="Y176" t="str">
        <f t="shared" si="51"/>
        <v>Detailed Analysis</v>
      </c>
      <c r="AA176" t="e">
        <f t="shared" si="52"/>
        <v>#VALUE!</v>
      </c>
      <c r="AB176" t="e">
        <f t="shared" si="53"/>
        <v>#VALUE!</v>
      </c>
    </row>
    <row r="177" spans="1:28">
      <c r="A177" t="s">
        <v>722</v>
      </c>
      <c r="B177" t="s">
        <v>723</v>
      </c>
      <c r="C177" t="s">
        <v>53</v>
      </c>
      <c r="D177" t="str">
        <f t="shared" si="36"/>
        <v>Aakash Reddy(E1176)-HR</v>
      </c>
      <c r="E177" t="str">
        <f t="shared" si="37"/>
        <v>HR</v>
      </c>
      <c r="F177" t="s">
        <v>89</v>
      </c>
      <c r="G177" t="s">
        <v>724</v>
      </c>
      <c r="H177" t="str">
        <f t="shared" si="38"/>
        <v>Thursday</v>
      </c>
      <c r="I177" t="str">
        <f t="shared" si="39"/>
        <v>Thu</v>
      </c>
      <c r="J177" t="str">
        <f t="shared" si="40"/>
        <v>day</v>
      </c>
      <c r="K177" t="str">
        <f t="shared" si="41"/>
        <v>Jun</v>
      </c>
      <c r="L177">
        <f t="shared" si="42"/>
        <v>2021</v>
      </c>
      <c r="M177" t="s">
        <v>725</v>
      </c>
      <c r="N177">
        <f t="shared" si="43"/>
        <v>1</v>
      </c>
      <c r="O177">
        <f t="shared" si="44"/>
        <v>14</v>
      </c>
      <c r="P177">
        <f t="shared" si="45"/>
        <v>9</v>
      </c>
      <c r="Q177">
        <v>52378</v>
      </c>
      <c r="R177">
        <v>60885</v>
      </c>
      <c r="S177" t="str">
        <f t="shared" si="46"/>
        <v>high target</v>
      </c>
      <c r="T177" t="str">
        <f t="shared" si="47"/>
        <v>mid target</v>
      </c>
      <c r="U177" t="s">
        <v>213</v>
      </c>
      <c r="V177">
        <f t="shared" si="48"/>
        <v>17</v>
      </c>
      <c r="W177" t="str">
        <f t="shared" si="49"/>
        <v>POSITIVE ATTITUDE</v>
      </c>
      <c r="X177" t="str">
        <f t="shared" si="50"/>
        <v>positive attitude</v>
      </c>
      <c r="Y177" t="str">
        <f t="shared" si="51"/>
        <v>Positive Attitude</v>
      </c>
      <c r="AA177" t="e">
        <f t="shared" si="52"/>
        <v>#VALUE!</v>
      </c>
      <c r="AB177" t="e">
        <f t="shared" si="53"/>
        <v>#VALUE!</v>
      </c>
    </row>
    <row r="178" spans="1:28">
      <c r="A178" t="s">
        <v>726</v>
      </c>
      <c r="B178" t="s">
        <v>727</v>
      </c>
      <c r="C178" t="s">
        <v>53</v>
      </c>
      <c r="D178" t="str">
        <f t="shared" si="36"/>
        <v>Siddharth Iyer(E1177)-HR</v>
      </c>
      <c r="E178" t="str">
        <f t="shared" si="37"/>
        <v>HR</v>
      </c>
      <c r="F178" t="s">
        <v>65</v>
      </c>
      <c r="G178" t="s">
        <v>728</v>
      </c>
      <c r="H178" t="str">
        <f t="shared" si="38"/>
        <v>Saturday</v>
      </c>
      <c r="I178" t="str">
        <f t="shared" si="39"/>
        <v>Sat</v>
      </c>
      <c r="J178" t="str">
        <f t="shared" si="40"/>
        <v>day</v>
      </c>
      <c r="K178" t="str">
        <f t="shared" si="41"/>
        <v>Mar</v>
      </c>
      <c r="L178">
        <f t="shared" si="42"/>
        <v>2021</v>
      </c>
      <c r="M178" t="s">
        <v>729</v>
      </c>
      <c r="N178">
        <f t="shared" si="43"/>
        <v>53</v>
      </c>
      <c r="O178">
        <f t="shared" si="44"/>
        <v>58</v>
      </c>
      <c r="P178">
        <f t="shared" si="45"/>
        <v>9</v>
      </c>
      <c r="Q178">
        <v>65057</v>
      </c>
      <c r="R178">
        <v>70962</v>
      </c>
      <c r="S178" t="str">
        <f t="shared" si="46"/>
        <v>high target</v>
      </c>
      <c r="T178" t="str">
        <f t="shared" si="47"/>
        <v>high target</v>
      </c>
      <c r="U178" t="s">
        <v>30</v>
      </c>
      <c r="V178">
        <f t="shared" si="48"/>
        <v>16</v>
      </c>
      <c r="W178" t="str">
        <f t="shared" si="49"/>
        <v>CUSTOMER FOCUSED</v>
      </c>
      <c r="X178" t="str">
        <f t="shared" si="50"/>
        <v>customer focused</v>
      </c>
      <c r="Y178" t="str">
        <f t="shared" si="51"/>
        <v>Customer Focused</v>
      </c>
      <c r="AA178" t="e">
        <f t="shared" si="52"/>
        <v>#VALUE!</v>
      </c>
      <c r="AB178" t="e">
        <f t="shared" si="53"/>
        <v>#VALUE!</v>
      </c>
    </row>
    <row r="179" spans="1:28">
      <c r="A179" t="s">
        <v>730</v>
      </c>
      <c r="B179" t="s">
        <v>347</v>
      </c>
      <c r="C179" t="s">
        <v>26</v>
      </c>
      <c r="D179" t="str">
        <f t="shared" si="36"/>
        <v>Siddharth Agarwal(E1178)-Marketing</v>
      </c>
      <c r="E179" t="str">
        <f t="shared" si="37"/>
        <v>Marketing</v>
      </c>
      <c r="F179" t="s">
        <v>72</v>
      </c>
      <c r="G179" t="s">
        <v>731</v>
      </c>
      <c r="H179" t="str">
        <f t="shared" si="38"/>
        <v>Saturday</v>
      </c>
      <c r="I179" t="str">
        <f t="shared" si="39"/>
        <v>Sat</v>
      </c>
      <c r="J179" t="str">
        <f t="shared" si="40"/>
        <v>day</v>
      </c>
      <c r="K179" t="str">
        <f t="shared" si="41"/>
        <v>Jun</v>
      </c>
      <c r="L179">
        <f t="shared" si="42"/>
        <v>2021</v>
      </c>
      <c r="M179" t="s">
        <v>732</v>
      </c>
      <c r="N179">
        <f t="shared" si="43"/>
        <v>13</v>
      </c>
      <c r="O179">
        <f t="shared" si="44"/>
        <v>16</v>
      </c>
      <c r="P179">
        <f t="shared" si="45"/>
        <v>8</v>
      </c>
      <c r="Q179">
        <v>89518</v>
      </c>
      <c r="R179">
        <v>94720</v>
      </c>
      <c r="S179" t="str">
        <f t="shared" si="46"/>
        <v>high target</v>
      </c>
      <c r="T179" t="str">
        <f t="shared" si="47"/>
        <v>high target</v>
      </c>
      <c r="U179" t="s">
        <v>44</v>
      </c>
      <c r="V179">
        <f t="shared" si="48"/>
        <v>19</v>
      </c>
      <c r="W179" t="str">
        <f t="shared" si="49"/>
        <v>STRONG PRESENTATION</v>
      </c>
      <c r="X179" t="str">
        <f t="shared" si="50"/>
        <v>strong presentation</v>
      </c>
      <c r="Y179" t="str">
        <f t="shared" si="51"/>
        <v>Strong Presentation</v>
      </c>
      <c r="AA179" t="e">
        <f t="shared" si="52"/>
        <v>#VALUE!</v>
      </c>
      <c r="AB179" t="e">
        <f t="shared" si="53"/>
        <v>#VALUE!</v>
      </c>
    </row>
    <row r="180" spans="1:28">
      <c r="A180" t="s">
        <v>733</v>
      </c>
      <c r="B180" t="s">
        <v>734</v>
      </c>
      <c r="C180" t="s">
        <v>26</v>
      </c>
      <c r="D180" t="str">
        <f t="shared" si="36"/>
        <v>Komal Jain(E1179)-Marketing</v>
      </c>
      <c r="E180" t="str">
        <f t="shared" si="37"/>
        <v>Marketing</v>
      </c>
      <c r="F180" t="s">
        <v>19</v>
      </c>
      <c r="G180" t="s">
        <v>414</v>
      </c>
      <c r="H180" t="str">
        <f t="shared" si="38"/>
        <v>Sunday</v>
      </c>
      <c r="I180" t="str">
        <f t="shared" si="39"/>
        <v>Sun</v>
      </c>
      <c r="J180" t="str">
        <f t="shared" si="40"/>
        <v>day</v>
      </c>
      <c r="K180" t="str">
        <f t="shared" si="41"/>
        <v>Aug</v>
      </c>
      <c r="L180">
        <f t="shared" si="42"/>
        <v>2022</v>
      </c>
      <c r="M180" t="s">
        <v>735</v>
      </c>
      <c r="N180">
        <f t="shared" si="43"/>
        <v>7</v>
      </c>
      <c r="O180">
        <f t="shared" si="44"/>
        <v>19</v>
      </c>
      <c r="P180">
        <f t="shared" si="45"/>
        <v>8</v>
      </c>
      <c r="Q180">
        <v>43755</v>
      </c>
      <c r="R180">
        <v>43129</v>
      </c>
      <c r="S180" t="str">
        <f t="shared" si="46"/>
        <v>low target</v>
      </c>
      <c r="T180" t="str">
        <f t="shared" si="47"/>
        <v>mid target</v>
      </c>
      <c r="U180" t="s">
        <v>168</v>
      </c>
      <c r="V180">
        <f t="shared" si="48"/>
        <v>17</v>
      </c>
      <c r="W180" t="str">
        <f t="shared" si="49"/>
        <v>DETAILED ANALYSIS</v>
      </c>
      <c r="X180" t="str">
        <f t="shared" si="50"/>
        <v>detailed analysis</v>
      </c>
      <c r="Y180" t="str">
        <f t="shared" si="51"/>
        <v>Detailed Analysis</v>
      </c>
      <c r="AA180" t="e">
        <f t="shared" si="52"/>
        <v>#VALUE!</v>
      </c>
      <c r="AB180" t="e">
        <f t="shared" si="53"/>
        <v>#VALUE!</v>
      </c>
    </row>
    <row r="181" spans="1:28">
      <c r="A181" t="s">
        <v>736</v>
      </c>
      <c r="B181" t="s">
        <v>737</v>
      </c>
      <c r="C181" t="s">
        <v>26</v>
      </c>
      <c r="D181" t="str">
        <f t="shared" si="36"/>
        <v>Yash Jain(E1180)-Marketing</v>
      </c>
      <c r="E181" t="str">
        <f t="shared" si="37"/>
        <v>Marketing</v>
      </c>
      <c r="F181" t="s">
        <v>19</v>
      </c>
      <c r="G181" t="s">
        <v>738</v>
      </c>
      <c r="H181" t="str">
        <f t="shared" si="38"/>
        <v>Monday</v>
      </c>
      <c r="I181" t="str">
        <f t="shared" si="39"/>
        <v>Mon</v>
      </c>
      <c r="J181" t="str">
        <f t="shared" si="40"/>
        <v>day</v>
      </c>
      <c r="K181" t="str">
        <f t="shared" si="41"/>
        <v>Aug</v>
      </c>
      <c r="L181">
        <f t="shared" si="42"/>
        <v>2021</v>
      </c>
      <c r="M181" t="s">
        <v>739</v>
      </c>
      <c r="N181">
        <f t="shared" si="43"/>
        <v>34</v>
      </c>
      <c r="O181">
        <f t="shared" si="44"/>
        <v>38</v>
      </c>
      <c r="P181">
        <f t="shared" si="45"/>
        <v>9</v>
      </c>
      <c r="Q181">
        <v>59852</v>
      </c>
      <c r="R181">
        <v>41077</v>
      </c>
      <c r="S181" t="str">
        <f t="shared" si="46"/>
        <v>low target</v>
      </c>
      <c r="T181" t="str">
        <f t="shared" si="47"/>
        <v>mid target</v>
      </c>
      <c r="U181" t="s">
        <v>15</v>
      </c>
      <c r="V181">
        <f t="shared" si="48"/>
        <v>20</v>
      </c>
      <c r="W181" t="str">
        <f t="shared" si="49"/>
        <v>EXCELLENT LEADERSHIP</v>
      </c>
      <c r="X181" t="str">
        <f t="shared" si="50"/>
        <v>excellent leadership</v>
      </c>
      <c r="Y181" t="str">
        <f t="shared" si="51"/>
        <v>Excellent Leadership</v>
      </c>
      <c r="AA181" t="e">
        <f t="shared" si="52"/>
        <v>#VALUE!</v>
      </c>
      <c r="AB181" t="e">
        <f t="shared" si="53"/>
        <v>#VALUE!</v>
      </c>
    </row>
    <row r="182" spans="1:28">
      <c r="A182" t="s">
        <v>740</v>
      </c>
      <c r="B182" t="s">
        <v>741</v>
      </c>
      <c r="C182" t="s">
        <v>41</v>
      </c>
      <c r="D182" t="str">
        <f t="shared" si="36"/>
        <v>Pooja Kumar(E1181)-Finance</v>
      </c>
      <c r="E182" t="str">
        <f t="shared" si="37"/>
        <v>Finance</v>
      </c>
      <c r="F182" t="s">
        <v>89</v>
      </c>
      <c r="G182" t="s">
        <v>742</v>
      </c>
      <c r="H182" t="str">
        <f t="shared" si="38"/>
        <v>Monday</v>
      </c>
      <c r="I182" t="str">
        <f t="shared" si="39"/>
        <v>Mon</v>
      </c>
      <c r="J182" t="str">
        <f t="shared" si="40"/>
        <v>day</v>
      </c>
      <c r="K182" t="str">
        <f t="shared" si="41"/>
        <v>Jan</v>
      </c>
      <c r="L182">
        <f t="shared" si="42"/>
        <v>2021</v>
      </c>
      <c r="M182" t="s">
        <v>743</v>
      </c>
      <c r="N182">
        <f t="shared" si="43"/>
        <v>15</v>
      </c>
      <c r="O182">
        <f t="shared" si="44"/>
        <v>22</v>
      </c>
      <c r="P182">
        <f t="shared" si="45"/>
        <v>10</v>
      </c>
      <c r="Q182">
        <v>89699</v>
      </c>
      <c r="R182">
        <v>77399</v>
      </c>
      <c r="S182" t="str">
        <f t="shared" si="46"/>
        <v>high target</v>
      </c>
      <c r="T182" t="str">
        <f t="shared" si="47"/>
        <v>high target</v>
      </c>
      <c r="U182" t="s">
        <v>112</v>
      </c>
      <c r="V182">
        <f t="shared" si="48"/>
        <v>14</v>
      </c>
      <c r="W182" t="str">
        <f t="shared" si="49"/>
        <v>QUICK RESPONSE</v>
      </c>
      <c r="X182" t="str">
        <f t="shared" si="50"/>
        <v>quick response</v>
      </c>
      <c r="Y182" t="str">
        <f t="shared" si="51"/>
        <v>Quick Response</v>
      </c>
      <c r="AA182" t="e">
        <f t="shared" si="52"/>
        <v>#VALUE!</v>
      </c>
      <c r="AB182" t="e">
        <f t="shared" si="53"/>
        <v>#VALUE!</v>
      </c>
    </row>
    <row r="183" spans="1:28">
      <c r="A183" t="s">
        <v>744</v>
      </c>
      <c r="B183" t="s">
        <v>745</v>
      </c>
      <c r="C183" t="s">
        <v>41</v>
      </c>
      <c r="D183" t="str">
        <f t="shared" si="36"/>
        <v>Nidhi Verma(E1182)-Finance</v>
      </c>
      <c r="E183" t="str">
        <f t="shared" si="37"/>
        <v>Finance</v>
      </c>
      <c r="F183" t="s">
        <v>19</v>
      </c>
      <c r="G183" t="s">
        <v>746</v>
      </c>
      <c r="H183" t="str">
        <f t="shared" si="38"/>
        <v>Thursday</v>
      </c>
      <c r="I183" t="str">
        <f t="shared" si="39"/>
        <v>Thu</v>
      </c>
      <c r="J183" t="str">
        <f t="shared" si="40"/>
        <v>day</v>
      </c>
      <c r="K183" t="str">
        <f t="shared" si="41"/>
        <v>Dec</v>
      </c>
      <c r="L183">
        <f t="shared" si="42"/>
        <v>2023</v>
      </c>
      <c r="M183" t="s">
        <v>747</v>
      </c>
      <c r="N183">
        <f t="shared" si="43"/>
        <v>50</v>
      </c>
      <c r="O183">
        <f t="shared" si="44"/>
        <v>32</v>
      </c>
      <c r="P183">
        <f t="shared" si="45"/>
        <v>10</v>
      </c>
      <c r="Q183">
        <v>59599</v>
      </c>
      <c r="R183">
        <v>73267</v>
      </c>
      <c r="S183" t="str">
        <f t="shared" si="46"/>
        <v>high target</v>
      </c>
      <c r="T183" t="str">
        <f t="shared" si="47"/>
        <v>high target</v>
      </c>
      <c r="U183" t="s">
        <v>168</v>
      </c>
      <c r="V183">
        <f t="shared" si="48"/>
        <v>17</v>
      </c>
      <c r="W183" t="str">
        <f t="shared" si="49"/>
        <v>DETAILED ANALYSIS</v>
      </c>
      <c r="X183" t="str">
        <f t="shared" si="50"/>
        <v>detailed analysis</v>
      </c>
      <c r="Y183" t="str">
        <f t="shared" si="51"/>
        <v>Detailed Analysis</v>
      </c>
      <c r="AA183" t="e">
        <f t="shared" si="52"/>
        <v>#VALUE!</v>
      </c>
      <c r="AB183" t="e">
        <f t="shared" si="53"/>
        <v>#VALUE!</v>
      </c>
    </row>
    <row r="184" spans="1:28">
      <c r="A184" t="s">
        <v>748</v>
      </c>
      <c r="B184" t="s">
        <v>749</v>
      </c>
      <c r="C184" t="s">
        <v>11</v>
      </c>
      <c r="D184" t="str">
        <f t="shared" si="36"/>
        <v>Isha Agarwal(E1183)-Sales</v>
      </c>
      <c r="E184" t="str">
        <f t="shared" si="37"/>
        <v>Sales</v>
      </c>
      <c r="F184" t="s">
        <v>89</v>
      </c>
      <c r="G184" t="s">
        <v>750</v>
      </c>
      <c r="H184" t="str">
        <f t="shared" si="38"/>
        <v>Saturday</v>
      </c>
      <c r="I184" t="str">
        <f t="shared" si="39"/>
        <v>Sat</v>
      </c>
      <c r="J184" t="str">
        <f t="shared" si="40"/>
        <v>day</v>
      </c>
      <c r="K184" t="str">
        <f t="shared" si="41"/>
        <v>Feb</v>
      </c>
      <c r="L184">
        <f t="shared" si="42"/>
        <v>2023</v>
      </c>
      <c r="M184" t="s">
        <v>751</v>
      </c>
      <c r="N184">
        <f t="shared" si="43"/>
        <v>1</v>
      </c>
      <c r="O184">
        <f t="shared" si="44"/>
        <v>47</v>
      </c>
      <c r="P184">
        <f t="shared" si="45"/>
        <v>9</v>
      </c>
      <c r="Q184">
        <v>52829</v>
      </c>
      <c r="R184">
        <v>63402</v>
      </c>
      <c r="S184" t="str">
        <f t="shared" si="46"/>
        <v>high target</v>
      </c>
      <c r="T184" t="str">
        <f t="shared" si="47"/>
        <v>mid target</v>
      </c>
      <c r="U184" t="s">
        <v>121</v>
      </c>
      <c r="V184">
        <f t="shared" si="48"/>
        <v>14</v>
      </c>
      <c r="W184" t="str">
        <f t="shared" si="49"/>
        <v>CREATIVE IDEAS</v>
      </c>
      <c r="X184" t="str">
        <f t="shared" si="50"/>
        <v>creative ideas</v>
      </c>
      <c r="Y184" t="str">
        <f t="shared" si="51"/>
        <v>Creative Ideas</v>
      </c>
      <c r="AA184" t="e">
        <f t="shared" si="52"/>
        <v>#VALUE!</v>
      </c>
      <c r="AB184" t="e">
        <f t="shared" si="53"/>
        <v>#VALUE!</v>
      </c>
    </row>
    <row r="185" spans="1:28">
      <c r="A185" t="s">
        <v>752</v>
      </c>
      <c r="B185" t="s">
        <v>753</v>
      </c>
      <c r="C185" t="s">
        <v>41</v>
      </c>
      <c r="D185" t="str">
        <f t="shared" si="36"/>
        <v>Pooja Singh(E1184)-Finance</v>
      </c>
      <c r="E185" t="str">
        <f t="shared" si="37"/>
        <v>Finance</v>
      </c>
      <c r="F185" t="s">
        <v>65</v>
      </c>
      <c r="G185" t="s">
        <v>754</v>
      </c>
      <c r="H185" t="str">
        <f t="shared" si="38"/>
        <v>Thursday</v>
      </c>
      <c r="I185" t="str">
        <f t="shared" si="39"/>
        <v>Thu</v>
      </c>
      <c r="J185" t="str">
        <f t="shared" si="40"/>
        <v>day</v>
      </c>
      <c r="K185" t="str">
        <f t="shared" si="41"/>
        <v>Apr</v>
      </c>
      <c r="L185">
        <f t="shared" si="42"/>
        <v>2021</v>
      </c>
      <c r="M185" t="s">
        <v>755</v>
      </c>
      <c r="N185">
        <f t="shared" si="43"/>
        <v>21</v>
      </c>
      <c r="O185">
        <f t="shared" si="44"/>
        <v>34</v>
      </c>
      <c r="P185">
        <f t="shared" si="45"/>
        <v>9</v>
      </c>
      <c r="Q185">
        <v>89788</v>
      </c>
      <c r="R185">
        <v>93314</v>
      </c>
      <c r="S185" t="str">
        <f t="shared" si="46"/>
        <v>high target</v>
      </c>
      <c r="T185" t="str">
        <f t="shared" si="47"/>
        <v>high target</v>
      </c>
      <c r="U185" t="s">
        <v>213</v>
      </c>
      <c r="V185">
        <f t="shared" si="48"/>
        <v>17</v>
      </c>
      <c r="W185" t="str">
        <f t="shared" si="49"/>
        <v>POSITIVE ATTITUDE</v>
      </c>
      <c r="X185" t="str">
        <f t="shared" si="50"/>
        <v>positive attitude</v>
      </c>
      <c r="Y185" t="str">
        <f t="shared" si="51"/>
        <v>Positive Attitude</v>
      </c>
      <c r="AA185" t="e">
        <f t="shared" si="52"/>
        <v>#VALUE!</v>
      </c>
      <c r="AB185" t="e">
        <f t="shared" si="53"/>
        <v>#VALUE!</v>
      </c>
    </row>
    <row r="186" spans="1:28">
      <c r="A186" t="s">
        <v>756</v>
      </c>
      <c r="B186" t="s">
        <v>757</v>
      </c>
      <c r="C186" t="s">
        <v>26</v>
      </c>
      <c r="D186" t="str">
        <f t="shared" si="36"/>
        <v>Harsh Malhotra(E1185)-Marketing</v>
      </c>
      <c r="E186" t="str">
        <f t="shared" si="37"/>
        <v>Marketing</v>
      </c>
      <c r="F186" t="s">
        <v>65</v>
      </c>
      <c r="G186" t="s">
        <v>758</v>
      </c>
      <c r="H186" t="str">
        <f t="shared" si="38"/>
        <v>Monday</v>
      </c>
      <c r="I186" t="str">
        <f t="shared" si="39"/>
        <v>Mon</v>
      </c>
      <c r="J186" t="str">
        <f t="shared" si="40"/>
        <v>day</v>
      </c>
      <c r="K186" t="str">
        <f t="shared" si="41"/>
        <v>Oct</v>
      </c>
      <c r="L186">
        <f t="shared" si="42"/>
        <v>2021</v>
      </c>
      <c r="M186" t="s">
        <v>759</v>
      </c>
      <c r="N186">
        <f t="shared" si="43"/>
        <v>49</v>
      </c>
      <c r="O186">
        <f t="shared" si="44"/>
        <v>45</v>
      </c>
      <c r="P186">
        <f t="shared" si="45"/>
        <v>8</v>
      </c>
      <c r="Q186">
        <v>57417</v>
      </c>
      <c r="R186">
        <v>69994</v>
      </c>
      <c r="S186" t="str">
        <f t="shared" si="46"/>
        <v>high target</v>
      </c>
      <c r="T186" t="str">
        <f t="shared" si="47"/>
        <v>mid target</v>
      </c>
      <c r="U186" t="s">
        <v>142</v>
      </c>
      <c r="V186">
        <f t="shared" si="48"/>
        <v>17</v>
      </c>
      <c r="W186" t="str">
        <f t="shared" si="49"/>
        <v>NEEDS IMPROVEMENT</v>
      </c>
      <c r="X186" t="str">
        <f t="shared" si="50"/>
        <v>needs improvement</v>
      </c>
      <c r="Y186" t="str">
        <f t="shared" si="51"/>
        <v>Needs Improvement</v>
      </c>
      <c r="AA186" t="e">
        <f t="shared" si="52"/>
        <v>#VALUE!</v>
      </c>
      <c r="AB186" t="e">
        <f t="shared" si="53"/>
        <v>#VALUE!</v>
      </c>
    </row>
    <row r="187" spans="1:28">
      <c r="A187" t="s">
        <v>760</v>
      </c>
      <c r="B187" t="s">
        <v>761</v>
      </c>
      <c r="C187" t="s">
        <v>53</v>
      </c>
      <c r="D187" t="str">
        <f t="shared" si="36"/>
        <v>Karan Patel(E1186)-HR</v>
      </c>
      <c r="E187" t="str">
        <f t="shared" si="37"/>
        <v>HR</v>
      </c>
      <c r="F187" t="s">
        <v>72</v>
      </c>
      <c r="G187" t="s">
        <v>73</v>
      </c>
      <c r="H187" t="str">
        <f t="shared" si="38"/>
        <v>Sunday</v>
      </c>
      <c r="I187" t="str">
        <f t="shared" si="39"/>
        <v>Sun</v>
      </c>
      <c r="J187" t="str">
        <f t="shared" si="40"/>
        <v>day</v>
      </c>
      <c r="K187" t="str">
        <f t="shared" si="41"/>
        <v>Oct</v>
      </c>
      <c r="L187">
        <f t="shared" si="42"/>
        <v>2022</v>
      </c>
      <c r="M187" t="s">
        <v>762</v>
      </c>
      <c r="N187">
        <f t="shared" si="43"/>
        <v>25</v>
      </c>
      <c r="O187">
        <f t="shared" si="44"/>
        <v>32</v>
      </c>
      <c r="P187">
        <f t="shared" si="45"/>
        <v>9</v>
      </c>
      <c r="Q187">
        <v>109462</v>
      </c>
      <c r="R187">
        <v>93438</v>
      </c>
      <c r="S187" t="str">
        <f t="shared" si="46"/>
        <v>high target</v>
      </c>
      <c r="T187" t="str">
        <f t="shared" si="47"/>
        <v>high target</v>
      </c>
      <c r="U187" t="s">
        <v>142</v>
      </c>
      <c r="V187">
        <f t="shared" si="48"/>
        <v>17</v>
      </c>
      <c r="W187" t="str">
        <f t="shared" si="49"/>
        <v>NEEDS IMPROVEMENT</v>
      </c>
      <c r="X187" t="str">
        <f t="shared" si="50"/>
        <v>needs improvement</v>
      </c>
      <c r="Y187" t="str">
        <f t="shared" si="51"/>
        <v>Needs Improvement</v>
      </c>
      <c r="AA187" t="e">
        <f t="shared" si="52"/>
        <v>#VALUE!</v>
      </c>
      <c r="AB187" t="e">
        <f t="shared" si="53"/>
        <v>#VALUE!</v>
      </c>
    </row>
    <row r="188" spans="1:28">
      <c r="A188" t="s">
        <v>763</v>
      </c>
      <c r="B188" t="s">
        <v>764</v>
      </c>
      <c r="C188" t="s">
        <v>41</v>
      </c>
      <c r="D188" t="str">
        <f t="shared" si="36"/>
        <v>Priya Mehta(E1187)-Finance</v>
      </c>
      <c r="E188" t="str">
        <f t="shared" si="37"/>
        <v>Finance</v>
      </c>
      <c r="F188" t="s">
        <v>34</v>
      </c>
      <c r="G188" t="s">
        <v>765</v>
      </c>
      <c r="H188" t="str">
        <f t="shared" si="38"/>
        <v>Thursday</v>
      </c>
      <c r="I188" t="str">
        <f t="shared" si="39"/>
        <v>Thu</v>
      </c>
      <c r="J188" t="str">
        <f t="shared" si="40"/>
        <v>day</v>
      </c>
      <c r="K188" t="str">
        <f t="shared" si="41"/>
        <v>Apr</v>
      </c>
      <c r="L188">
        <f t="shared" si="42"/>
        <v>2021</v>
      </c>
      <c r="M188" t="s">
        <v>766</v>
      </c>
      <c r="N188">
        <f t="shared" si="43"/>
        <v>17</v>
      </c>
      <c r="O188">
        <f t="shared" si="44"/>
        <v>21</v>
      </c>
      <c r="P188">
        <f t="shared" si="45"/>
        <v>10</v>
      </c>
      <c r="Q188">
        <v>57275</v>
      </c>
      <c r="R188">
        <v>48157</v>
      </c>
      <c r="S188" t="str">
        <f t="shared" si="46"/>
        <v>low target</v>
      </c>
      <c r="T188" t="str">
        <f t="shared" si="47"/>
        <v>mid target</v>
      </c>
      <c r="U188" t="s">
        <v>168</v>
      </c>
      <c r="V188">
        <f t="shared" si="48"/>
        <v>17</v>
      </c>
      <c r="W188" t="str">
        <f t="shared" si="49"/>
        <v>DETAILED ANALYSIS</v>
      </c>
      <c r="X188" t="str">
        <f t="shared" si="50"/>
        <v>detailed analysis</v>
      </c>
      <c r="Y188" t="str">
        <f t="shared" si="51"/>
        <v>Detailed Analysis</v>
      </c>
      <c r="AA188" t="e">
        <f t="shared" si="52"/>
        <v>#VALUE!</v>
      </c>
      <c r="AB188" t="e">
        <f t="shared" si="53"/>
        <v>#VALUE!</v>
      </c>
    </row>
    <row r="189" spans="1:28">
      <c r="A189" t="s">
        <v>767</v>
      </c>
      <c r="B189" t="s">
        <v>768</v>
      </c>
      <c r="C189" t="s">
        <v>26</v>
      </c>
      <c r="D189" t="str">
        <f t="shared" si="36"/>
        <v>Aditya Bansal(E1188)-Marketing</v>
      </c>
      <c r="E189" t="str">
        <f t="shared" si="37"/>
        <v>Marketing</v>
      </c>
      <c r="F189" t="s">
        <v>89</v>
      </c>
      <c r="G189" t="s">
        <v>769</v>
      </c>
      <c r="H189" t="str">
        <f t="shared" si="38"/>
        <v>Saturday</v>
      </c>
      <c r="I189" t="str">
        <f t="shared" si="39"/>
        <v>Sat</v>
      </c>
      <c r="J189" t="str">
        <f t="shared" si="40"/>
        <v>day</v>
      </c>
      <c r="K189" t="str">
        <f t="shared" si="41"/>
        <v>Nov</v>
      </c>
      <c r="L189">
        <f t="shared" si="42"/>
        <v>2022</v>
      </c>
      <c r="M189" t="s">
        <v>770</v>
      </c>
      <c r="N189">
        <f t="shared" si="43"/>
        <v>44</v>
      </c>
      <c r="O189">
        <f t="shared" si="44"/>
        <v>31</v>
      </c>
      <c r="P189">
        <f t="shared" si="45"/>
        <v>8</v>
      </c>
      <c r="Q189">
        <v>81679</v>
      </c>
      <c r="R189">
        <v>72605</v>
      </c>
      <c r="S189" t="str">
        <f t="shared" si="46"/>
        <v>high target</v>
      </c>
      <c r="T189" t="str">
        <f t="shared" si="47"/>
        <v>high target</v>
      </c>
      <c r="U189" t="s">
        <v>487</v>
      </c>
      <c r="V189">
        <f t="shared" si="48"/>
        <v>13</v>
      </c>
      <c r="W189" t="str">
        <f t="shared" si="49"/>
        <v>GREAT SUPPORT</v>
      </c>
      <c r="X189" t="str">
        <f t="shared" si="50"/>
        <v>great support</v>
      </c>
      <c r="Y189" t="str">
        <f t="shared" si="51"/>
        <v>Great Support</v>
      </c>
      <c r="AA189" t="e">
        <f t="shared" si="52"/>
        <v>#VALUE!</v>
      </c>
      <c r="AB189" t="e">
        <f t="shared" si="53"/>
        <v>#VALUE!</v>
      </c>
    </row>
    <row r="190" spans="1:28">
      <c r="A190" t="s">
        <v>771</v>
      </c>
      <c r="B190" t="s">
        <v>772</v>
      </c>
      <c r="C190" t="s">
        <v>41</v>
      </c>
      <c r="D190" t="str">
        <f t="shared" si="36"/>
        <v>Tanya Saxena(E1189)-Finance</v>
      </c>
      <c r="E190" t="str">
        <f t="shared" si="37"/>
        <v>Finance</v>
      </c>
      <c r="F190" t="s">
        <v>19</v>
      </c>
      <c r="G190" t="s">
        <v>773</v>
      </c>
      <c r="H190" t="str">
        <f t="shared" si="38"/>
        <v>Saturday</v>
      </c>
      <c r="I190" t="str">
        <f t="shared" si="39"/>
        <v>Sat</v>
      </c>
      <c r="J190" t="str">
        <f t="shared" si="40"/>
        <v>day</v>
      </c>
      <c r="K190" t="str">
        <f t="shared" si="41"/>
        <v>May</v>
      </c>
      <c r="L190">
        <f t="shared" si="42"/>
        <v>2023</v>
      </c>
      <c r="M190" t="s">
        <v>774</v>
      </c>
      <c r="N190">
        <f t="shared" si="43"/>
        <v>38</v>
      </c>
      <c r="O190">
        <f t="shared" si="44"/>
        <v>27</v>
      </c>
      <c r="P190">
        <f t="shared" si="45"/>
        <v>8</v>
      </c>
      <c r="Q190">
        <v>90718</v>
      </c>
      <c r="R190">
        <v>93892</v>
      </c>
      <c r="S190" t="str">
        <f t="shared" si="46"/>
        <v>high target</v>
      </c>
      <c r="T190" t="str">
        <f t="shared" si="47"/>
        <v>high target</v>
      </c>
      <c r="U190" t="s">
        <v>44</v>
      </c>
      <c r="V190">
        <f t="shared" si="48"/>
        <v>19</v>
      </c>
      <c r="W190" t="str">
        <f t="shared" si="49"/>
        <v>STRONG PRESENTATION</v>
      </c>
      <c r="X190" t="str">
        <f t="shared" si="50"/>
        <v>strong presentation</v>
      </c>
      <c r="Y190" t="str">
        <f t="shared" si="51"/>
        <v>Strong Presentation</v>
      </c>
      <c r="AA190" t="e">
        <f t="shared" si="52"/>
        <v>#VALUE!</v>
      </c>
      <c r="AB190" t="e">
        <f t="shared" si="53"/>
        <v>#VALUE!</v>
      </c>
    </row>
    <row r="191" spans="1:28">
      <c r="A191" t="s">
        <v>775</v>
      </c>
      <c r="B191" t="s">
        <v>776</v>
      </c>
      <c r="C191" t="s">
        <v>11</v>
      </c>
      <c r="D191" t="str">
        <f t="shared" si="36"/>
        <v>Anjali Iyer(E1190)-Sales</v>
      </c>
      <c r="E191" t="str">
        <f t="shared" si="37"/>
        <v>Sales</v>
      </c>
      <c r="F191" t="s">
        <v>19</v>
      </c>
      <c r="G191" t="s">
        <v>777</v>
      </c>
      <c r="H191" t="str">
        <f t="shared" si="38"/>
        <v>Thursday</v>
      </c>
      <c r="I191" t="str">
        <f t="shared" si="39"/>
        <v>Thu</v>
      </c>
      <c r="J191" t="str">
        <f t="shared" si="40"/>
        <v>day</v>
      </c>
      <c r="K191" t="str">
        <f t="shared" si="41"/>
        <v>Nov</v>
      </c>
      <c r="L191">
        <f t="shared" si="42"/>
        <v>2022</v>
      </c>
      <c r="M191" t="s">
        <v>778</v>
      </c>
      <c r="N191">
        <f t="shared" si="43"/>
        <v>19</v>
      </c>
      <c r="O191">
        <f t="shared" si="44"/>
        <v>18</v>
      </c>
      <c r="P191">
        <f t="shared" si="45"/>
        <v>10</v>
      </c>
      <c r="Q191">
        <v>82148</v>
      </c>
      <c r="R191">
        <v>69223</v>
      </c>
      <c r="S191" t="str">
        <f t="shared" si="46"/>
        <v>high target</v>
      </c>
      <c r="T191" t="str">
        <f t="shared" si="47"/>
        <v>mid target</v>
      </c>
      <c r="U191" t="s">
        <v>112</v>
      </c>
      <c r="V191">
        <f t="shared" si="48"/>
        <v>14</v>
      </c>
      <c r="W191" t="str">
        <f t="shared" si="49"/>
        <v>QUICK RESPONSE</v>
      </c>
      <c r="X191" t="str">
        <f t="shared" si="50"/>
        <v>quick response</v>
      </c>
      <c r="Y191" t="str">
        <f t="shared" si="51"/>
        <v>Quick Response</v>
      </c>
      <c r="AA191" t="e">
        <f t="shared" si="52"/>
        <v>#VALUE!</v>
      </c>
      <c r="AB191" t="e">
        <f t="shared" si="53"/>
        <v>#VALUE!</v>
      </c>
    </row>
    <row r="192" spans="1:28">
      <c r="A192" t="s">
        <v>779</v>
      </c>
      <c r="B192" t="s">
        <v>353</v>
      </c>
      <c r="C192" t="s">
        <v>41</v>
      </c>
      <c r="D192" t="str">
        <f t="shared" si="36"/>
        <v>Siddharth Malhotra(E1191)-Finance</v>
      </c>
      <c r="E192" t="str">
        <f t="shared" si="37"/>
        <v>Finance</v>
      </c>
      <c r="F192" t="s">
        <v>79</v>
      </c>
      <c r="G192" t="s">
        <v>632</v>
      </c>
      <c r="H192" t="str">
        <f t="shared" si="38"/>
        <v>Sunday</v>
      </c>
      <c r="I192" t="str">
        <f t="shared" si="39"/>
        <v>Sun</v>
      </c>
      <c r="J192" t="str">
        <f t="shared" si="40"/>
        <v>day</v>
      </c>
      <c r="K192" t="str">
        <f t="shared" si="41"/>
        <v>Mar</v>
      </c>
      <c r="L192">
        <f t="shared" si="42"/>
        <v>2021</v>
      </c>
      <c r="M192" t="s">
        <v>780</v>
      </c>
      <c r="N192">
        <f t="shared" si="43"/>
        <v>58</v>
      </c>
      <c r="O192">
        <f t="shared" si="44"/>
        <v>55</v>
      </c>
      <c r="P192">
        <f t="shared" si="45"/>
        <v>10</v>
      </c>
      <c r="Q192">
        <v>76609</v>
      </c>
      <c r="R192">
        <v>63105</v>
      </c>
      <c r="S192" t="str">
        <f t="shared" si="46"/>
        <v>high target</v>
      </c>
      <c r="T192" t="str">
        <f t="shared" si="47"/>
        <v>mid target</v>
      </c>
      <c r="U192" t="s">
        <v>142</v>
      </c>
      <c r="V192">
        <f t="shared" si="48"/>
        <v>17</v>
      </c>
      <c r="W192" t="str">
        <f t="shared" si="49"/>
        <v>NEEDS IMPROVEMENT</v>
      </c>
      <c r="X192" t="str">
        <f t="shared" si="50"/>
        <v>needs improvement</v>
      </c>
      <c r="Y192" t="str">
        <f t="shared" si="51"/>
        <v>Needs Improvement</v>
      </c>
      <c r="AA192" t="e">
        <f t="shared" si="52"/>
        <v>#VALUE!</v>
      </c>
      <c r="AB192" t="e">
        <f t="shared" si="53"/>
        <v>#VALUE!</v>
      </c>
    </row>
    <row r="193" spans="1:28">
      <c r="A193" t="s">
        <v>781</v>
      </c>
      <c r="B193" t="s">
        <v>782</v>
      </c>
      <c r="C193" t="s">
        <v>11</v>
      </c>
      <c r="D193" t="str">
        <f t="shared" si="36"/>
        <v>Yash Patel(E1192)-Sales</v>
      </c>
      <c r="E193" t="str">
        <f t="shared" si="37"/>
        <v>Sales</v>
      </c>
      <c r="F193" t="s">
        <v>89</v>
      </c>
      <c r="G193" t="s">
        <v>783</v>
      </c>
      <c r="H193" t="str">
        <f t="shared" si="38"/>
        <v>Sunday</v>
      </c>
      <c r="I193" t="str">
        <f t="shared" si="39"/>
        <v>Sun</v>
      </c>
      <c r="J193" t="str">
        <f t="shared" si="40"/>
        <v>day</v>
      </c>
      <c r="K193" t="str">
        <f t="shared" si="41"/>
        <v>Jan</v>
      </c>
      <c r="L193">
        <f t="shared" si="42"/>
        <v>2023</v>
      </c>
      <c r="M193" t="s">
        <v>784</v>
      </c>
      <c r="N193">
        <f t="shared" si="43"/>
        <v>47</v>
      </c>
      <c r="O193">
        <f t="shared" si="44"/>
        <v>51</v>
      </c>
      <c r="P193">
        <f t="shared" si="45"/>
        <v>10</v>
      </c>
      <c r="Q193">
        <v>80009</v>
      </c>
      <c r="R193">
        <v>84525</v>
      </c>
      <c r="S193" t="str">
        <f t="shared" si="46"/>
        <v>high target</v>
      </c>
      <c r="T193" t="str">
        <f t="shared" si="47"/>
        <v>high target</v>
      </c>
      <c r="U193" t="s">
        <v>159</v>
      </c>
      <c r="V193">
        <f t="shared" si="48"/>
        <v>17</v>
      </c>
      <c r="W193" t="str">
        <f t="shared" si="49"/>
        <v>EXCELLENT SERVICE</v>
      </c>
      <c r="X193" t="str">
        <f t="shared" si="50"/>
        <v>excellent service</v>
      </c>
      <c r="Y193" t="str">
        <f t="shared" si="51"/>
        <v>Excellent Service</v>
      </c>
      <c r="AA193" t="e">
        <f t="shared" si="52"/>
        <v>#VALUE!</v>
      </c>
      <c r="AB193" t="e">
        <f t="shared" si="53"/>
        <v>#VALUE!</v>
      </c>
    </row>
    <row r="194" spans="1:28">
      <c r="A194" t="s">
        <v>785</v>
      </c>
      <c r="B194" t="s">
        <v>786</v>
      </c>
      <c r="C194" t="s">
        <v>26</v>
      </c>
      <c r="D194" t="str">
        <f t="shared" si="36"/>
        <v>Arjun Jain(E1193)-Marketing</v>
      </c>
      <c r="E194" t="str">
        <f t="shared" si="37"/>
        <v>Marketing</v>
      </c>
      <c r="F194" t="s">
        <v>72</v>
      </c>
      <c r="G194" t="s">
        <v>458</v>
      </c>
      <c r="H194" t="str">
        <f t="shared" si="38"/>
        <v>Thursday</v>
      </c>
      <c r="I194" t="str">
        <f t="shared" si="39"/>
        <v>Thu</v>
      </c>
      <c r="J194" t="str">
        <f t="shared" si="40"/>
        <v>day</v>
      </c>
      <c r="K194" t="str">
        <f t="shared" si="41"/>
        <v>Sep</v>
      </c>
      <c r="L194">
        <f t="shared" si="42"/>
        <v>2021</v>
      </c>
      <c r="M194" t="s">
        <v>787</v>
      </c>
      <c r="N194">
        <f t="shared" si="43"/>
        <v>49</v>
      </c>
      <c r="O194">
        <f t="shared" si="44"/>
        <v>15</v>
      </c>
      <c r="P194">
        <f t="shared" si="45"/>
        <v>8</v>
      </c>
      <c r="Q194">
        <v>91288</v>
      </c>
      <c r="R194">
        <v>82281</v>
      </c>
      <c r="S194" t="str">
        <f t="shared" si="46"/>
        <v>high target</v>
      </c>
      <c r="T194" t="str">
        <f t="shared" si="47"/>
        <v>high target</v>
      </c>
      <c r="U194" t="s">
        <v>121</v>
      </c>
      <c r="V194">
        <f t="shared" si="48"/>
        <v>14</v>
      </c>
      <c r="W194" t="str">
        <f t="shared" si="49"/>
        <v>CREATIVE IDEAS</v>
      </c>
      <c r="X194" t="str">
        <f t="shared" si="50"/>
        <v>creative ideas</v>
      </c>
      <c r="Y194" t="str">
        <f t="shared" si="51"/>
        <v>Creative Ideas</v>
      </c>
      <c r="AA194" t="e">
        <f t="shared" si="52"/>
        <v>#VALUE!</v>
      </c>
      <c r="AB194" t="e">
        <f t="shared" si="53"/>
        <v>#VALUE!</v>
      </c>
    </row>
    <row r="195" spans="1:28">
      <c r="A195" t="s">
        <v>788</v>
      </c>
      <c r="B195" t="s">
        <v>789</v>
      </c>
      <c r="C195" t="s">
        <v>11</v>
      </c>
      <c r="D195" t="str">
        <f t="shared" ref="D195:D258" si="54">_xlfn.CONCAT(B195,"(",A195,")","-",C195)</f>
        <v>Suresh Mishra(E1194)-Sales</v>
      </c>
      <c r="E195" t="str">
        <f t="shared" ref="E195:E258" si="55">RIGHT(D195,LEN(D195)-FIND("-",D195))</f>
        <v>Sales</v>
      </c>
      <c r="F195" t="s">
        <v>65</v>
      </c>
      <c r="G195" t="s">
        <v>790</v>
      </c>
      <c r="H195" t="str">
        <f t="shared" ref="H195:H258" si="56">TEXT(G195,"dddd")</f>
        <v>Tuesday</v>
      </c>
      <c r="I195" t="str">
        <f t="shared" ref="I195:I258" si="57">LEFT(H195,3)</f>
        <v>Tue</v>
      </c>
      <c r="J195" t="str">
        <f t="shared" ref="J195:J258" si="58">RIGHT(H195,3)</f>
        <v>day</v>
      </c>
      <c r="K195" t="str">
        <f t="shared" ref="K195:K258" si="59">TEXT(G195,"mmm")</f>
        <v>Oct</v>
      </c>
      <c r="L195">
        <f t="shared" ref="L195:L258" si="60">YEAR(G195)</f>
        <v>2024</v>
      </c>
      <c r="M195" t="s">
        <v>791</v>
      </c>
      <c r="N195">
        <f t="shared" ref="N195:N258" si="61">SECOND(M195)</f>
        <v>23</v>
      </c>
      <c r="O195">
        <f t="shared" ref="O195:O258" si="62">MINUTE(M195)</f>
        <v>23</v>
      </c>
      <c r="P195">
        <f t="shared" ref="P195:P258" si="63">HOUR(M195)</f>
        <v>9</v>
      </c>
      <c r="Q195">
        <v>59132</v>
      </c>
      <c r="R195">
        <v>69094</v>
      </c>
      <c r="S195" t="str">
        <f t="shared" ref="S195:S258" si="64">IF(R195&gt;50000,"high target","low target")</f>
        <v>high target</v>
      </c>
      <c r="T195" t="str">
        <f t="shared" ref="T195:T258" si="65">_xlfn.IFS(R195&lt;40000,"low target",R195&lt;70000,"mid target",R195&gt;70000,"high target")</f>
        <v>mid target</v>
      </c>
      <c r="U195" t="s">
        <v>15</v>
      </c>
      <c r="V195">
        <f t="shared" ref="V195:V258" si="66">LEN(U195)</f>
        <v>20</v>
      </c>
      <c r="W195" t="str">
        <f t="shared" ref="W195:W258" si="67">UPPER(U195)</f>
        <v>EXCELLENT LEADERSHIP</v>
      </c>
      <c r="X195" t="str">
        <f t="shared" ref="X195:X258" si="68">LOWER(U195)</f>
        <v>excellent leadership</v>
      </c>
      <c r="Y195" t="str">
        <f t="shared" ref="Y195:Y258" si="69">PROPER(U195)</f>
        <v>Excellent Leadership</v>
      </c>
      <c r="AA195" t="e">
        <f t="shared" ref="AA195:AA258" si="70">LEFT(Z195,FIND("-",Z195,1)-1)</f>
        <v>#VALUE!</v>
      </c>
      <c r="AB195" t="e">
        <f t="shared" ref="AB195:AB258" si="71">RIGHT(Z195,LEN(Z195)-FIND("-",Z195))</f>
        <v>#VALUE!</v>
      </c>
    </row>
    <row r="196" spans="1:28">
      <c r="A196" t="s">
        <v>792</v>
      </c>
      <c r="B196" t="s">
        <v>691</v>
      </c>
      <c r="C196" t="s">
        <v>41</v>
      </c>
      <c r="D196" t="str">
        <f t="shared" si="54"/>
        <v>Arjun Saxena(E1195)-Finance</v>
      </c>
      <c r="E196" t="str">
        <f t="shared" si="55"/>
        <v>Finance</v>
      </c>
      <c r="F196" t="s">
        <v>89</v>
      </c>
      <c r="G196" t="s">
        <v>793</v>
      </c>
      <c r="H196" t="str">
        <f t="shared" si="56"/>
        <v>Thursday</v>
      </c>
      <c r="I196" t="str">
        <f t="shared" si="57"/>
        <v>Thu</v>
      </c>
      <c r="J196" t="str">
        <f t="shared" si="58"/>
        <v>day</v>
      </c>
      <c r="K196" t="str">
        <f t="shared" si="59"/>
        <v>Oct</v>
      </c>
      <c r="L196">
        <f t="shared" si="60"/>
        <v>2022</v>
      </c>
      <c r="M196" t="s">
        <v>794</v>
      </c>
      <c r="N196">
        <f t="shared" si="61"/>
        <v>15</v>
      </c>
      <c r="O196">
        <f t="shared" si="62"/>
        <v>17</v>
      </c>
      <c r="P196">
        <f t="shared" si="63"/>
        <v>10</v>
      </c>
      <c r="Q196">
        <v>34132</v>
      </c>
      <c r="R196">
        <v>47434</v>
      </c>
      <c r="S196" t="str">
        <f t="shared" si="64"/>
        <v>low target</v>
      </c>
      <c r="T196" t="str">
        <f t="shared" si="65"/>
        <v>mid target</v>
      </c>
      <c r="U196" t="s">
        <v>22</v>
      </c>
      <c r="V196">
        <f t="shared" si="66"/>
        <v>13</v>
      </c>
      <c r="W196" t="str">
        <f t="shared" si="67"/>
        <v>FAST DELIVERY</v>
      </c>
      <c r="X196" t="str">
        <f t="shared" si="68"/>
        <v>fast delivery</v>
      </c>
      <c r="Y196" t="str">
        <f t="shared" si="69"/>
        <v>Fast Delivery</v>
      </c>
      <c r="AA196" t="e">
        <f t="shared" si="70"/>
        <v>#VALUE!</v>
      </c>
      <c r="AB196" t="e">
        <f t="shared" si="71"/>
        <v>#VALUE!</v>
      </c>
    </row>
    <row r="197" spans="1:28">
      <c r="A197" t="s">
        <v>795</v>
      </c>
      <c r="B197" t="s">
        <v>796</v>
      </c>
      <c r="C197" t="s">
        <v>26</v>
      </c>
      <c r="D197" t="str">
        <f t="shared" si="54"/>
        <v>Sneha Agarwal(E1196)-Marketing</v>
      </c>
      <c r="E197" t="str">
        <f t="shared" si="55"/>
        <v>Marketing</v>
      </c>
      <c r="F197" t="s">
        <v>19</v>
      </c>
      <c r="G197" t="s">
        <v>797</v>
      </c>
      <c r="H197" t="str">
        <f t="shared" si="56"/>
        <v>Tuesday</v>
      </c>
      <c r="I197" t="str">
        <f t="shared" si="57"/>
        <v>Tue</v>
      </c>
      <c r="J197" t="str">
        <f t="shared" si="58"/>
        <v>day</v>
      </c>
      <c r="K197" t="str">
        <f t="shared" si="59"/>
        <v>Jun</v>
      </c>
      <c r="L197">
        <f t="shared" si="60"/>
        <v>2022</v>
      </c>
      <c r="M197" t="s">
        <v>798</v>
      </c>
      <c r="N197">
        <f t="shared" si="61"/>
        <v>28</v>
      </c>
      <c r="O197">
        <f t="shared" si="62"/>
        <v>45</v>
      </c>
      <c r="P197">
        <f t="shared" si="63"/>
        <v>9</v>
      </c>
      <c r="Q197">
        <v>57777</v>
      </c>
      <c r="R197">
        <v>54062</v>
      </c>
      <c r="S197" t="str">
        <f t="shared" si="64"/>
        <v>high target</v>
      </c>
      <c r="T197" t="str">
        <f t="shared" si="65"/>
        <v>mid target</v>
      </c>
      <c r="U197" t="s">
        <v>22</v>
      </c>
      <c r="V197">
        <f t="shared" si="66"/>
        <v>13</v>
      </c>
      <c r="W197" t="str">
        <f t="shared" si="67"/>
        <v>FAST DELIVERY</v>
      </c>
      <c r="X197" t="str">
        <f t="shared" si="68"/>
        <v>fast delivery</v>
      </c>
      <c r="Y197" t="str">
        <f t="shared" si="69"/>
        <v>Fast Delivery</v>
      </c>
      <c r="AA197" t="e">
        <f t="shared" si="70"/>
        <v>#VALUE!</v>
      </c>
      <c r="AB197" t="e">
        <f t="shared" si="71"/>
        <v>#VALUE!</v>
      </c>
    </row>
    <row r="198" spans="1:28">
      <c r="A198" t="s">
        <v>799</v>
      </c>
      <c r="B198" t="s">
        <v>800</v>
      </c>
      <c r="C198" t="s">
        <v>53</v>
      </c>
      <c r="D198" t="str">
        <f t="shared" si="54"/>
        <v>Madhuri Agarwal(E1197)-HR</v>
      </c>
      <c r="E198" t="str">
        <f t="shared" si="55"/>
        <v>HR</v>
      </c>
      <c r="F198" t="s">
        <v>19</v>
      </c>
      <c r="G198" t="s">
        <v>295</v>
      </c>
      <c r="H198" t="str">
        <f t="shared" si="56"/>
        <v>Tuesday</v>
      </c>
      <c r="I198" t="str">
        <f t="shared" si="57"/>
        <v>Tue</v>
      </c>
      <c r="J198" t="str">
        <f t="shared" si="58"/>
        <v>day</v>
      </c>
      <c r="K198" t="str">
        <f t="shared" si="59"/>
        <v>Oct</v>
      </c>
      <c r="L198">
        <f t="shared" si="60"/>
        <v>2021</v>
      </c>
      <c r="M198" t="s">
        <v>801</v>
      </c>
      <c r="N198">
        <f t="shared" si="61"/>
        <v>11</v>
      </c>
      <c r="O198">
        <f t="shared" si="62"/>
        <v>28</v>
      </c>
      <c r="P198">
        <f t="shared" si="63"/>
        <v>8</v>
      </c>
      <c r="Q198">
        <v>113065</v>
      </c>
      <c r="R198">
        <v>98895</v>
      </c>
      <c r="S198" t="str">
        <f t="shared" si="64"/>
        <v>high target</v>
      </c>
      <c r="T198" t="str">
        <f t="shared" si="65"/>
        <v>high target</v>
      </c>
      <c r="U198" t="s">
        <v>37</v>
      </c>
      <c r="V198">
        <f t="shared" si="66"/>
        <v>18</v>
      </c>
      <c r="W198" t="str">
        <f t="shared" si="67"/>
        <v>GOOD COMMUNICATION</v>
      </c>
      <c r="X198" t="str">
        <f t="shared" si="68"/>
        <v>good communication</v>
      </c>
      <c r="Y198" t="str">
        <f t="shared" si="69"/>
        <v>Good Communication</v>
      </c>
      <c r="AA198" t="e">
        <f t="shared" si="70"/>
        <v>#VALUE!</v>
      </c>
      <c r="AB198" t="e">
        <f t="shared" si="71"/>
        <v>#VALUE!</v>
      </c>
    </row>
    <row r="199" spans="1:28">
      <c r="A199" t="s">
        <v>802</v>
      </c>
      <c r="B199" t="s">
        <v>672</v>
      </c>
      <c r="C199" t="s">
        <v>41</v>
      </c>
      <c r="D199" t="str">
        <f t="shared" si="54"/>
        <v>Tanya Iyer(E1198)-Finance</v>
      </c>
      <c r="E199" t="str">
        <f t="shared" si="55"/>
        <v>Finance</v>
      </c>
      <c r="F199" t="s">
        <v>19</v>
      </c>
      <c r="G199" t="s">
        <v>803</v>
      </c>
      <c r="H199" t="str">
        <f t="shared" si="56"/>
        <v>Thursday</v>
      </c>
      <c r="I199" t="str">
        <f t="shared" si="57"/>
        <v>Thu</v>
      </c>
      <c r="J199" t="str">
        <f t="shared" si="58"/>
        <v>day</v>
      </c>
      <c r="K199" t="str">
        <f t="shared" si="59"/>
        <v>Feb</v>
      </c>
      <c r="L199">
        <f t="shared" si="60"/>
        <v>2024</v>
      </c>
      <c r="M199" t="s">
        <v>804</v>
      </c>
      <c r="N199">
        <f t="shared" si="61"/>
        <v>57</v>
      </c>
      <c r="O199">
        <f t="shared" si="62"/>
        <v>18</v>
      </c>
      <c r="P199">
        <f t="shared" si="63"/>
        <v>10</v>
      </c>
      <c r="Q199">
        <v>54979</v>
      </c>
      <c r="R199">
        <v>59657</v>
      </c>
      <c r="S199" t="str">
        <f t="shared" si="64"/>
        <v>high target</v>
      </c>
      <c r="T199" t="str">
        <f t="shared" si="65"/>
        <v>mid target</v>
      </c>
      <c r="U199" t="s">
        <v>22</v>
      </c>
      <c r="V199">
        <f t="shared" si="66"/>
        <v>13</v>
      </c>
      <c r="W199" t="str">
        <f t="shared" si="67"/>
        <v>FAST DELIVERY</v>
      </c>
      <c r="X199" t="str">
        <f t="shared" si="68"/>
        <v>fast delivery</v>
      </c>
      <c r="Y199" t="str">
        <f t="shared" si="69"/>
        <v>Fast Delivery</v>
      </c>
      <c r="AA199" t="e">
        <f t="shared" si="70"/>
        <v>#VALUE!</v>
      </c>
      <c r="AB199" t="e">
        <f t="shared" si="71"/>
        <v>#VALUE!</v>
      </c>
    </row>
    <row r="200" spans="1:28">
      <c r="A200" t="s">
        <v>805</v>
      </c>
      <c r="B200" t="s">
        <v>806</v>
      </c>
      <c r="C200" t="s">
        <v>41</v>
      </c>
      <c r="D200" t="str">
        <f t="shared" si="54"/>
        <v>Siddharth Joshi(E1199)-Finance</v>
      </c>
      <c r="E200" t="str">
        <f t="shared" si="55"/>
        <v>Finance</v>
      </c>
      <c r="F200" t="s">
        <v>27</v>
      </c>
      <c r="G200" t="s">
        <v>807</v>
      </c>
      <c r="H200" t="str">
        <f t="shared" si="56"/>
        <v>Monday</v>
      </c>
      <c r="I200" t="str">
        <f t="shared" si="57"/>
        <v>Mon</v>
      </c>
      <c r="J200" t="str">
        <f t="shared" si="58"/>
        <v>day</v>
      </c>
      <c r="K200" t="str">
        <f t="shared" si="59"/>
        <v>Sep</v>
      </c>
      <c r="L200">
        <f t="shared" si="60"/>
        <v>2021</v>
      </c>
      <c r="M200" t="s">
        <v>808</v>
      </c>
      <c r="N200">
        <f t="shared" si="61"/>
        <v>8</v>
      </c>
      <c r="O200">
        <f t="shared" si="62"/>
        <v>50</v>
      </c>
      <c r="P200">
        <f t="shared" si="63"/>
        <v>8</v>
      </c>
      <c r="Q200">
        <v>72890</v>
      </c>
      <c r="R200">
        <v>55514</v>
      </c>
      <c r="S200" t="str">
        <f t="shared" si="64"/>
        <v>high target</v>
      </c>
      <c r="T200" t="str">
        <f t="shared" si="65"/>
        <v>mid target</v>
      </c>
      <c r="U200" t="s">
        <v>159</v>
      </c>
      <c r="V200">
        <f t="shared" si="66"/>
        <v>17</v>
      </c>
      <c r="W200" t="str">
        <f t="shared" si="67"/>
        <v>EXCELLENT SERVICE</v>
      </c>
      <c r="X200" t="str">
        <f t="shared" si="68"/>
        <v>excellent service</v>
      </c>
      <c r="Y200" t="str">
        <f t="shared" si="69"/>
        <v>Excellent Service</v>
      </c>
      <c r="AA200" t="e">
        <f t="shared" si="70"/>
        <v>#VALUE!</v>
      </c>
      <c r="AB200" t="e">
        <f t="shared" si="71"/>
        <v>#VALUE!</v>
      </c>
    </row>
    <row r="201" spans="1:28">
      <c r="A201" t="s">
        <v>809</v>
      </c>
      <c r="B201" t="s">
        <v>536</v>
      </c>
      <c r="C201" t="s">
        <v>41</v>
      </c>
      <c r="D201" t="str">
        <f t="shared" si="54"/>
        <v>Meera Goyal(E1200)-Finance</v>
      </c>
      <c r="E201" t="str">
        <f t="shared" si="55"/>
        <v>Finance</v>
      </c>
      <c r="F201" t="s">
        <v>79</v>
      </c>
      <c r="G201" t="s">
        <v>810</v>
      </c>
      <c r="H201" t="str">
        <f t="shared" si="56"/>
        <v>Sunday</v>
      </c>
      <c r="I201" t="str">
        <f t="shared" si="57"/>
        <v>Sun</v>
      </c>
      <c r="J201" t="str">
        <f t="shared" si="58"/>
        <v>day</v>
      </c>
      <c r="K201" t="str">
        <f t="shared" si="59"/>
        <v>Feb</v>
      </c>
      <c r="L201">
        <f t="shared" si="60"/>
        <v>2024</v>
      </c>
      <c r="M201" t="s">
        <v>526</v>
      </c>
      <c r="N201">
        <f t="shared" si="61"/>
        <v>56</v>
      </c>
      <c r="O201">
        <f t="shared" si="62"/>
        <v>39</v>
      </c>
      <c r="P201">
        <f t="shared" si="63"/>
        <v>8</v>
      </c>
      <c r="Q201">
        <v>34958</v>
      </c>
      <c r="R201">
        <v>45650</v>
      </c>
      <c r="S201" t="str">
        <f t="shared" si="64"/>
        <v>low target</v>
      </c>
      <c r="T201" t="str">
        <f t="shared" si="65"/>
        <v>mid target</v>
      </c>
      <c r="U201" t="s">
        <v>142</v>
      </c>
      <c r="V201">
        <f t="shared" si="66"/>
        <v>17</v>
      </c>
      <c r="W201" t="str">
        <f t="shared" si="67"/>
        <v>NEEDS IMPROVEMENT</v>
      </c>
      <c r="X201" t="str">
        <f t="shared" si="68"/>
        <v>needs improvement</v>
      </c>
      <c r="Y201" t="str">
        <f t="shared" si="69"/>
        <v>Needs Improvement</v>
      </c>
      <c r="AA201" t="e">
        <f t="shared" si="70"/>
        <v>#VALUE!</v>
      </c>
      <c r="AB201" t="e">
        <f t="shared" si="71"/>
        <v>#VALUE!</v>
      </c>
    </row>
    <row r="202" spans="1:28">
      <c r="A202" t="s">
        <v>811</v>
      </c>
      <c r="B202" t="s">
        <v>812</v>
      </c>
      <c r="C202" t="s">
        <v>26</v>
      </c>
      <c r="D202" t="str">
        <f t="shared" si="54"/>
        <v>Suresh Agarwal(E1201)-Marketing</v>
      </c>
      <c r="E202" t="str">
        <f t="shared" si="55"/>
        <v>Marketing</v>
      </c>
      <c r="F202" t="s">
        <v>89</v>
      </c>
      <c r="G202" t="s">
        <v>813</v>
      </c>
      <c r="H202" t="str">
        <f t="shared" si="56"/>
        <v>Saturday</v>
      </c>
      <c r="I202" t="str">
        <f t="shared" si="57"/>
        <v>Sat</v>
      </c>
      <c r="J202" t="str">
        <f t="shared" si="58"/>
        <v>day</v>
      </c>
      <c r="K202" t="str">
        <f t="shared" si="59"/>
        <v>Mar</v>
      </c>
      <c r="L202">
        <f t="shared" si="60"/>
        <v>2024</v>
      </c>
      <c r="M202" t="s">
        <v>814</v>
      </c>
      <c r="N202">
        <f t="shared" si="61"/>
        <v>20</v>
      </c>
      <c r="O202">
        <f t="shared" si="62"/>
        <v>8</v>
      </c>
      <c r="P202">
        <f t="shared" si="63"/>
        <v>8</v>
      </c>
      <c r="Q202">
        <v>71956</v>
      </c>
      <c r="R202">
        <v>82096</v>
      </c>
      <c r="S202" t="str">
        <f t="shared" si="64"/>
        <v>high target</v>
      </c>
      <c r="T202" t="str">
        <f t="shared" si="65"/>
        <v>high target</v>
      </c>
      <c r="U202" t="s">
        <v>56</v>
      </c>
      <c r="V202">
        <f t="shared" si="66"/>
        <v>16</v>
      </c>
      <c r="W202" t="str">
        <f t="shared" si="67"/>
        <v>HELPFUL ATTITUDE</v>
      </c>
      <c r="X202" t="str">
        <f t="shared" si="68"/>
        <v>helpful attitude</v>
      </c>
      <c r="Y202" t="str">
        <f t="shared" si="69"/>
        <v>Helpful Attitude</v>
      </c>
      <c r="AA202" t="e">
        <f t="shared" si="70"/>
        <v>#VALUE!</v>
      </c>
      <c r="AB202" t="e">
        <f t="shared" si="71"/>
        <v>#VALUE!</v>
      </c>
    </row>
    <row r="203" spans="1:28">
      <c r="A203" t="s">
        <v>815</v>
      </c>
      <c r="B203" t="s">
        <v>816</v>
      </c>
      <c r="C203" t="s">
        <v>41</v>
      </c>
      <c r="D203" t="str">
        <f t="shared" si="54"/>
        <v>Deepak Saxena(E1202)-Finance</v>
      </c>
      <c r="E203" t="str">
        <f t="shared" si="55"/>
        <v>Finance</v>
      </c>
      <c r="F203" t="s">
        <v>65</v>
      </c>
      <c r="G203" t="s">
        <v>810</v>
      </c>
      <c r="H203" t="str">
        <f t="shared" si="56"/>
        <v>Sunday</v>
      </c>
      <c r="I203" t="str">
        <f t="shared" si="57"/>
        <v>Sun</v>
      </c>
      <c r="J203" t="str">
        <f t="shared" si="58"/>
        <v>day</v>
      </c>
      <c r="K203" t="str">
        <f t="shared" si="59"/>
        <v>Feb</v>
      </c>
      <c r="L203">
        <f t="shared" si="60"/>
        <v>2024</v>
      </c>
      <c r="M203" t="s">
        <v>817</v>
      </c>
      <c r="N203">
        <f t="shared" si="61"/>
        <v>11</v>
      </c>
      <c r="O203">
        <f t="shared" si="62"/>
        <v>37</v>
      </c>
      <c r="P203">
        <f t="shared" si="63"/>
        <v>10</v>
      </c>
      <c r="Q203">
        <v>83773</v>
      </c>
      <c r="R203">
        <v>90317</v>
      </c>
      <c r="S203" t="str">
        <f t="shared" si="64"/>
        <v>high target</v>
      </c>
      <c r="T203" t="str">
        <f t="shared" si="65"/>
        <v>high target</v>
      </c>
      <c r="U203" t="s">
        <v>168</v>
      </c>
      <c r="V203">
        <f t="shared" si="66"/>
        <v>17</v>
      </c>
      <c r="W203" t="str">
        <f t="shared" si="67"/>
        <v>DETAILED ANALYSIS</v>
      </c>
      <c r="X203" t="str">
        <f t="shared" si="68"/>
        <v>detailed analysis</v>
      </c>
      <c r="Y203" t="str">
        <f t="shared" si="69"/>
        <v>Detailed Analysis</v>
      </c>
      <c r="AA203" t="e">
        <f t="shared" si="70"/>
        <v>#VALUE!</v>
      </c>
      <c r="AB203" t="e">
        <f t="shared" si="71"/>
        <v>#VALUE!</v>
      </c>
    </row>
    <row r="204" spans="1:28">
      <c r="A204" t="s">
        <v>818</v>
      </c>
      <c r="B204" t="s">
        <v>819</v>
      </c>
      <c r="C204" t="s">
        <v>11</v>
      </c>
      <c r="D204" t="str">
        <f t="shared" si="54"/>
        <v>Aakash Patel(E1203)-Sales</v>
      </c>
      <c r="E204" t="str">
        <f t="shared" si="55"/>
        <v>Sales</v>
      </c>
      <c r="F204" t="s">
        <v>65</v>
      </c>
      <c r="G204" t="s">
        <v>820</v>
      </c>
      <c r="H204" t="str">
        <f t="shared" si="56"/>
        <v>Thursday</v>
      </c>
      <c r="I204" t="str">
        <f t="shared" si="57"/>
        <v>Thu</v>
      </c>
      <c r="J204" t="str">
        <f t="shared" si="58"/>
        <v>day</v>
      </c>
      <c r="K204" t="str">
        <f t="shared" si="59"/>
        <v>Sep</v>
      </c>
      <c r="L204">
        <f t="shared" si="60"/>
        <v>2022</v>
      </c>
      <c r="M204" t="s">
        <v>821</v>
      </c>
      <c r="N204">
        <f t="shared" si="61"/>
        <v>20</v>
      </c>
      <c r="O204">
        <f t="shared" si="62"/>
        <v>10</v>
      </c>
      <c r="P204">
        <f t="shared" si="63"/>
        <v>8</v>
      </c>
      <c r="Q204">
        <v>86262</v>
      </c>
      <c r="R204">
        <v>86486</v>
      </c>
      <c r="S204" t="str">
        <f t="shared" si="64"/>
        <v>high target</v>
      </c>
      <c r="T204" t="str">
        <f t="shared" si="65"/>
        <v>high target</v>
      </c>
      <c r="U204" t="s">
        <v>121</v>
      </c>
      <c r="V204">
        <f t="shared" si="66"/>
        <v>14</v>
      </c>
      <c r="W204" t="str">
        <f t="shared" si="67"/>
        <v>CREATIVE IDEAS</v>
      </c>
      <c r="X204" t="str">
        <f t="shared" si="68"/>
        <v>creative ideas</v>
      </c>
      <c r="Y204" t="str">
        <f t="shared" si="69"/>
        <v>Creative Ideas</v>
      </c>
      <c r="AA204" t="e">
        <f t="shared" si="70"/>
        <v>#VALUE!</v>
      </c>
      <c r="AB204" t="e">
        <f t="shared" si="71"/>
        <v>#VALUE!</v>
      </c>
    </row>
    <row r="205" spans="1:28">
      <c r="A205" t="s">
        <v>822</v>
      </c>
      <c r="B205" t="s">
        <v>823</v>
      </c>
      <c r="C205" t="s">
        <v>11</v>
      </c>
      <c r="D205" t="str">
        <f t="shared" si="54"/>
        <v>Aakash Gupta(E1204)-Sales</v>
      </c>
      <c r="E205" t="str">
        <f t="shared" si="55"/>
        <v>Sales</v>
      </c>
      <c r="F205" t="s">
        <v>12</v>
      </c>
      <c r="G205" t="s">
        <v>824</v>
      </c>
      <c r="H205" t="str">
        <f t="shared" si="56"/>
        <v>Monday</v>
      </c>
      <c r="I205" t="str">
        <f t="shared" si="57"/>
        <v>Mon</v>
      </c>
      <c r="J205" t="str">
        <f t="shared" si="58"/>
        <v>day</v>
      </c>
      <c r="K205" t="str">
        <f t="shared" si="59"/>
        <v>Feb</v>
      </c>
      <c r="L205">
        <f t="shared" si="60"/>
        <v>2022</v>
      </c>
      <c r="M205" t="s">
        <v>825</v>
      </c>
      <c r="N205">
        <f t="shared" si="61"/>
        <v>17</v>
      </c>
      <c r="O205">
        <f t="shared" si="62"/>
        <v>35</v>
      </c>
      <c r="P205">
        <f t="shared" si="63"/>
        <v>10</v>
      </c>
      <c r="Q205">
        <v>53048</v>
      </c>
      <c r="R205">
        <v>48203</v>
      </c>
      <c r="S205" t="str">
        <f t="shared" si="64"/>
        <v>low target</v>
      </c>
      <c r="T205" t="str">
        <f t="shared" si="65"/>
        <v>mid target</v>
      </c>
      <c r="U205" t="s">
        <v>15</v>
      </c>
      <c r="V205">
        <f t="shared" si="66"/>
        <v>20</v>
      </c>
      <c r="W205" t="str">
        <f t="shared" si="67"/>
        <v>EXCELLENT LEADERSHIP</v>
      </c>
      <c r="X205" t="str">
        <f t="shared" si="68"/>
        <v>excellent leadership</v>
      </c>
      <c r="Y205" t="str">
        <f t="shared" si="69"/>
        <v>Excellent Leadership</v>
      </c>
      <c r="AA205" t="e">
        <f t="shared" si="70"/>
        <v>#VALUE!</v>
      </c>
      <c r="AB205" t="e">
        <f t="shared" si="71"/>
        <v>#VALUE!</v>
      </c>
    </row>
    <row r="206" spans="1:28">
      <c r="A206" t="s">
        <v>826</v>
      </c>
      <c r="B206" t="s">
        <v>827</v>
      </c>
      <c r="C206" t="s">
        <v>53</v>
      </c>
      <c r="D206" t="str">
        <f t="shared" si="54"/>
        <v>Ritika Verma(E1205)-HR</v>
      </c>
      <c r="E206" t="str">
        <f t="shared" si="55"/>
        <v>HR</v>
      </c>
      <c r="F206" t="s">
        <v>65</v>
      </c>
      <c r="G206" t="s">
        <v>828</v>
      </c>
      <c r="H206" t="str">
        <f t="shared" si="56"/>
        <v>Friday</v>
      </c>
      <c r="I206" t="str">
        <f t="shared" si="57"/>
        <v>Fri</v>
      </c>
      <c r="J206" t="str">
        <f t="shared" si="58"/>
        <v>day</v>
      </c>
      <c r="K206" t="str">
        <f t="shared" si="59"/>
        <v>Dec</v>
      </c>
      <c r="L206">
        <f t="shared" si="60"/>
        <v>2021</v>
      </c>
      <c r="M206" t="s">
        <v>829</v>
      </c>
      <c r="N206">
        <f t="shared" si="61"/>
        <v>46</v>
      </c>
      <c r="O206">
        <f t="shared" si="62"/>
        <v>39</v>
      </c>
      <c r="P206">
        <f t="shared" si="63"/>
        <v>10</v>
      </c>
      <c r="Q206">
        <v>106239</v>
      </c>
      <c r="R206">
        <v>99113</v>
      </c>
      <c r="S206" t="str">
        <f t="shared" si="64"/>
        <v>high target</v>
      </c>
      <c r="T206" t="str">
        <f t="shared" si="65"/>
        <v>high target</v>
      </c>
      <c r="U206" t="s">
        <v>213</v>
      </c>
      <c r="V206">
        <f t="shared" si="66"/>
        <v>17</v>
      </c>
      <c r="W206" t="str">
        <f t="shared" si="67"/>
        <v>POSITIVE ATTITUDE</v>
      </c>
      <c r="X206" t="str">
        <f t="shared" si="68"/>
        <v>positive attitude</v>
      </c>
      <c r="Y206" t="str">
        <f t="shared" si="69"/>
        <v>Positive Attitude</v>
      </c>
      <c r="AA206" t="e">
        <f t="shared" si="70"/>
        <v>#VALUE!</v>
      </c>
      <c r="AB206" t="e">
        <f t="shared" si="71"/>
        <v>#VALUE!</v>
      </c>
    </row>
    <row r="207" spans="1:28">
      <c r="A207" t="s">
        <v>830</v>
      </c>
      <c r="B207" t="s">
        <v>484</v>
      </c>
      <c r="C207" t="s">
        <v>11</v>
      </c>
      <c r="D207" t="str">
        <f t="shared" si="54"/>
        <v>Madhuri Mishra(E1206)-Sales</v>
      </c>
      <c r="E207" t="str">
        <f t="shared" si="55"/>
        <v>Sales</v>
      </c>
      <c r="F207" t="s">
        <v>72</v>
      </c>
      <c r="G207" t="s">
        <v>684</v>
      </c>
      <c r="H207" t="str">
        <f t="shared" si="56"/>
        <v>Wednesday</v>
      </c>
      <c r="I207" t="str">
        <f t="shared" si="57"/>
        <v>Wed</v>
      </c>
      <c r="J207" t="str">
        <f t="shared" si="58"/>
        <v>day</v>
      </c>
      <c r="K207" t="str">
        <f t="shared" si="59"/>
        <v>Jun</v>
      </c>
      <c r="L207">
        <f t="shared" si="60"/>
        <v>2021</v>
      </c>
      <c r="M207" t="s">
        <v>831</v>
      </c>
      <c r="N207">
        <f t="shared" si="61"/>
        <v>49</v>
      </c>
      <c r="O207">
        <f t="shared" si="62"/>
        <v>41</v>
      </c>
      <c r="P207">
        <f t="shared" si="63"/>
        <v>8</v>
      </c>
      <c r="Q207">
        <v>80143</v>
      </c>
      <c r="R207">
        <v>77799</v>
      </c>
      <c r="S207" t="str">
        <f t="shared" si="64"/>
        <v>high target</v>
      </c>
      <c r="T207" t="str">
        <f t="shared" si="65"/>
        <v>high target</v>
      </c>
      <c r="U207" t="s">
        <v>68</v>
      </c>
      <c r="V207">
        <f t="shared" si="66"/>
        <v>13</v>
      </c>
      <c r="W207" t="str">
        <f t="shared" si="67"/>
        <v>GOOD TEAMWORK</v>
      </c>
      <c r="X207" t="str">
        <f t="shared" si="68"/>
        <v>good teamwork</v>
      </c>
      <c r="Y207" t="str">
        <f t="shared" si="69"/>
        <v>Good Teamwork</v>
      </c>
      <c r="AA207" t="e">
        <f t="shared" si="70"/>
        <v>#VALUE!</v>
      </c>
      <c r="AB207" t="e">
        <f t="shared" si="71"/>
        <v>#VALUE!</v>
      </c>
    </row>
    <row r="208" spans="1:28">
      <c r="A208" t="s">
        <v>832</v>
      </c>
      <c r="B208" t="s">
        <v>833</v>
      </c>
      <c r="C208" t="s">
        <v>26</v>
      </c>
      <c r="D208" t="str">
        <f t="shared" si="54"/>
        <v>Karan Mishra(E1207)-Marketing</v>
      </c>
      <c r="E208" t="str">
        <f t="shared" si="55"/>
        <v>Marketing</v>
      </c>
      <c r="F208" t="s">
        <v>72</v>
      </c>
      <c r="G208" t="s">
        <v>834</v>
      </c>
      <c r="H208" t="str">
        <f t="shared" si="56"/>
        <v>Tuesday</v>
      </c>
      <c r="I208" t="str">
        <f t="shared" si="57"/>
        <v>Tue</v>
      </c>
      <c r="J208" t="str">
        <f t="shared" si="58"/>
        <v>day</v>
      </c>
      <c r="K208" t="str">
        <f t="shared" si="59"/>
        <v>Oct</v>
      </c>
      <c r="L208">
        <f t="shared" si="60"/>
        <v>2023</v>
      </c>
      <c r="M208" t="s">
        <v>835</v>
      </c>
      <c r="N208">
        <f t="shared" si="61"/>
        <v>18</v>
      </c>
      <c r="O208">
        <f t="shared" si="62"/>
        <v>34</v>
      </c>
      <c r="P208">
        <f t="shared" si="63"/>
        <v>10</v>
      </c>
      <c r="Q208">
        <v>86866</v>
      </c>
      <c r="R208">
        <v>82068</v>
      </c>
      <c r="S208" t="str">
        <f t="shared" si="64"/>
        <v>high target</v>
      </c>
      <c r="T208" t="str">
        <f t="shared" si="65"/>
        <v>high target</v>
      </c>
      <c r="U208" t="s">
        <v>56</v>
      </c>
      <c r="V208">
        <f t="shared" si="66"/>
        <v>16</v>
      </c>
      <c r="W208" t="str">
        <f t="shared" si="67"/>
        <v>HELPFUL ATTITUDE</v>
      </c>
      <c r="X208" t="str">
        <f t="shared" si="68"/>
        <v>helpful attitude</v>
      </c>
      <c r="Y208" t="str">
        <f t="shared" si="69"/>
        <v>Helpful Attitude</v>
      </c>
      <c r="AA208" t="e">
        <f t="shared" si="70"/>
        <v>#VALUE!</v>
      </c>
      <c r="AB208" t="e">
        <f t="shared" si="71"/>
        <v>#VALUE!</v>
      </c>
    </row>
    <row r="209" spans="1:28">
      <c r="A209" t="s">
        <v>836</v>
      </c>
      <c r="B209" t="s">
        <v>837</v>
      </c>
      <c r="C209" t="s">
        <v>41</v>
      </c>
      <c r="D209" t="str">
        <f t="shared" si="54"/>
        <v>Pooja Bansal(E1208)-Finance</v>
      </c>
      <c r="E209" t="str">
        <f t="shared" si="55"/>
        <v>Finance</v>
      </c>
      <c r="F209" t="s">
        <v>79</v>
      </c>
      <c r="G209" t="s">
        <v>838</v>
      </c>
      <c r="H209" t="str">
        <f t="shared" si="56"/>
        <v>Sunday</v>
      </c>
      <c r="I209" t="str">
        <f t="shared" si="57"/>
        <v>Sun</v>
      </c>
      <c r="J209" t="str">
        <f t="shared" si="58"/>
        <v>day</v>
      </c>
      <c r="K209" t="str">
        <f t="shared" si="59"/>
        <v>May</v>
      </c>
      <c r="L209">
        <f t="shared" si="60"/>
        <v>2021</v>
      </c>
      <c r="M209" t="s">
        <v>839</v>
      </c>
      <c r="N209">
        <f t="shared" si="61"/>
        <v>10</v>
      </c>
      <c r="O209">
        <f t="shared" si="62"/>
        <v>3</v>
      </c>
      <c r="P209">
        <f t="shared" si="63"/>
        <v>10</v>
      </c>
      <c r="Q209">
        <v>81047</v>
      </c>
      <c r="R209">
        <v>68809</v>
      </c>
      <c r="S209" t="str">
        <f t="shared" si="64"/>
        <v>high target</v>
      </c>
      <c r="T209" t="str">
        <f t="shared" si="65"/>
        <v>mid target</v>
      </c>
      <c r="U209" t="s">
        <v>56</v>
      </c>
      <c r="V209">
        <f t="shared" si="66"/>
        <v>16</v>
      </c>
      <c r="W209" t="str">
        <f t="shared" si="67"/>
        <v>HELPFUL ATTITUDE</v>
      </c>
      <c r="X209" t="str">
        <f t="shared" si="68"/>
        <v>helpful attitude</v>
      </c>
      <c r="Y209" t="str">
        <f t="shared" si="69"/>
        <v>Helpful Attitude</v>
      </c>
      <c r="AA209" t="e">
        <f t="shared" si="70"/>
        <v>#VALUE!</v>
      </c>
      <c r="AB209" t="e">
        <f t="shared" si="71"/>
        <v>#VALUE!</v>
      </c>
    </row>
    <row r="210" spans="1:28">
      <c r="A210" t="s">
        <v>840</v>
      </c>
      <c r="B210" t="s">
        <v>841</v>
      </c>
      <c r="C210" t="s">
        <v>41</v>
      </c>
      <c r="D210" t="str">
        <f t="shared" si="54"/>
        <v>Deepak Mehta(E1209)-Finance</v>
      </c>
      <c r="E210" t="str">
        <f t="shared" si="55"/>
        <v>Finance</v>
      </c>
      <c r="F210" t="s">
        <v>65</v>
      </c>
      <c r="G210" t="s">
        <v>583</v>
      </c>
      <c r="H210" t="str">
        <f t="shared" si="56"/>
        <v>Monday</v>
      </c>
      <c r="I210" t="str">
        <f t="shared" si="57"/>
        <v>Mon</v>
      </c>
      <c r="J210" t="str">
        <f t="shared" si="58"/>
        <v>day</v>
      </c>
      <c r="K210" t="str">
        <f t="shared" si="59"/>
        <v>Oct</v>
      </c>
      <c r="L210">
        <f t="shared" si="60"/>
        <v>2022</v>
      </c>
      <c r="M210" t="s">
        <v>842</v>
      </c>
      <c r="N210">
        <f t="shared" si="61"/>
        <v>46</v>
      </c>
      <c r="O210">
        <f t="shared" si="62"/>
        <v>20</v>
      </c>
      <c r="P210">
        <f t="shared" si="63"/>
        <v>10</v>
      </c>
      <c r="Q210">
        <v>104045</v>
      </c>
      <c r="R210">
        <v>96411</v>
      </c>
      <c r="S210" t="str">
        <f t="shared" si="64"/>
        <v>high target</v>
      </c>
      <c r="T210" t="str">
        <f t="shared" si="65"/>
        <v>high target</v>
      </c>
      <c r="U210" t="s">
        <v>168</v>
      </c>
      <c r="V210">
        <f t="shared" si="66"/>
        <v>17</v>
      </c>
      <c r="W210" t="str">
        <f t="shared" si="67"/>
        <v>DETAILED ANALYSIS</v>
      </c>
      <c r="X210" t="str">
        <f t="shared" si="68"/>
        <v>detailed analysis</v>
      </c>
      <c r="Y210" t="str">
        <f t="shared" si="69"/>
        <v>Detailed Analysis</v>
      </c>
      <c r="AA210" t="e">
        <f t="shared" si="70"/>
        <v>#VALUE!</v>
      </c>
      <c r="AB210" t="e">
        <f t="shared" si="71"/>
        <v>#VALUE!</v>
      </c>
    </row>
    <row r="211" spans="1:28">
      <c r="A211" t="s">
        <v>843</v>
      </c>
      <c r="B211" t="s">
        <v>844</v>
      </c>
      <c r="C211" t="s">
        <v>11</v>
      </c>
      <c r="D211" t="str">
        <f t="shared" si="54"/>
        <v>Arjun Reddy(E1210)-Sales</v>
      </c>
      <c r="E211" t="str">
        <f t="shared" si="55"/>
        <v>Sales</v>
      </c>
      <c r="F211" t="s">
        <v>34</v>
      </c>
      <c r="G211" t="s">
        <v>845</v>
      </c>
      <c r="H211" t="str">
        <f t="shared" si="56"/>
        <v>Wednesday</v>
      </c>
      <c r="I211" t="str">
        <f t="shared" si="57"/>
        <v>Wed</v>
      </c>
      <c r="J211" t="str">
        <f t="shared" si="58"/>
        <v>day</v>
      </c>
      <c r="K211" t="str">
        <f t="shared" si="59"/>
        <v>May</v>
      </c>
      <c r="L211">
        <f t="shared" si="60"/>
        <v>2022</v>
      </c>
      <c r="M211" t="s">
        <v>846</v>
      </c>
      <c r="N211">
        <f t="shared" si="61"/>
        <v>17</v>
      </c>
      <c r="O211">
        <f t="shared" si="62"/>
        <v>7</v>
      </c>
      <c r="P211">
        <f t="shared" si="63"/>
        <v>9</v>
      </c>
      <c r="Q211">
        <v>70711</v>
      </c>
      <c r="R211">
        <v>69464</v>
      </c>
      <c r="S211" t="str">
        <f t="shared" si="64"/>
        <v>high target</v>
      </c>
      <c r="T211" t="str">
        <f t="shared" si="65"/>
        <v>mid target</v>
      </c>
      <c r="U211" t="s">
        <v>112</v>
      </c>
      <c r="V211">
        <f t="shared" si="66"/>
        <v>14</v>
      </c>
      <c r="W211" t="str">
        <f t="shared" si="67"/>
        <v>QUICK RESPONSE</v>
      </c>
      <c r="X211" t="str">
        <f t="shared" si="68"/>
        <v>quick response</v>
      </c>
      <c r="Y211" t="str">
        <f t="shared" si="69"/>
        <v>Quick Response</v>
      </c>
      <c r="AA211" t="e">
        <f t="shared" si="70"/>
        <v>#VALUE!</v>
      </c>
      <c r="AB211" t="e">
        <f t="shared" si="71"/>
        <v>#VALUE!</v>
      </c>
    </row>
    <row r="212" spans="1:28">
      <c r="A212" t="s">
        <v>847</v>
      </c>
      <c r="B212" t="s">
        <v>848</v>
      </c>
      <c r="C212" t="s">
        <v>41</v>
      </c>
      <c r="D212" t="str">
        <f t="shared" si="54"/>
        <v>Neha Patel(E1211)-Finance</v>
      </c>
      <c r="E212" t="str">
        <f t="shared" si="55"/>
        <v>Finance</v>
      </c>
      <c r="F212" t="s">
        <v>89</v>
      </c>
      <c r="G212" t="s">
        <v>849</v>
      </c>
      <c r="H212" t="str">
        <f t="shared" si="56"/>
        <v>Friday</v>
      </c>
      <c r="I212" t="str">
        <f t="shared" si="57"/>
        <v>Fri</v>
      </c>
      <c r="J212" t="str">
        <f t="shared" si="58"/>
        <v>day</v>
      </c>
      <c r="K212" t="str">
        <f t="shared" si="59"/>
        <v>Jun</v>
      </c>
      <c r="L212">
        <f t="shared" si="60"/>
        <v>2024</v>
      </c>
      <c r="M212" t="s">
        <v>850</v>
      </c>
      <c r="N212">
        <f t="shared" si="61"/>
        <v>55</v>
      </c>
      <c r="O212">
        <f t="shared" si="62"/>
        <v>15</v>
      </c>
      <c r="P212">
        <f t="shared" si="63"/>
        <v>9</v>
      </c>
      <c r="Q212">
        <v>94599</v>
      </c>
      <c r="R212">
        <v>99133</v>
      </c>
      <c r="S212" t="str">
        <f t="shared" si="64"/>
        <v>high target</v>
      </c>
      <c r="T212" t="str">
        <f t="shared" si="65"/>
        <v>high target</v>
      </c>
      <c r="U212" t="s">
        <v>213</v>
      </c>
      <c r="V212">
        <f t="shared" si="66"/>
        <v>17</v>
      </c>
      <c r="W212" t="str">
        <f t="shared" si="67"/>
        <v>POSITIVE ATTITUDE</v>
      </c>
      <c r="X212" t="str">
        <f t="shared" si="68"/>
        <v>positive attitude</v>
      </c>
      <c r="Y212" t="str">
        <f t="shared" si="69"/>
        <v>Positive Attitude</v>
      </c>
      <c r="AA212" t="e">
        <f t="shared" si="70"/>
        <v>#VALUE!</v>
      </c>
      <c r="AB212" t="e">
        <f t="shared" si="71"/>
        <v>#VALUE!</v>
      </c>
    </row>
    <row r="213" spans="1:28">
      <c r="A213" t="s">
        <v>851</v>
      </c>
      <c r="B213" t="s">
        <v>852</v>
      </c>
      <c r="C213" t="s">
        <v>41</v>
      </c>
      <c r="D213" t="str">
        <f t="shared" si="54"/>
        <v>Rohan Mishra(E1212)-Finance</v>
      </c>
      <c r="E213" t="str">
        <f t="shared" si="55"/>
        <v>Finance</v>
      </c>
      <c r="F213" t="s">
        <v>27</v>
      </c>
      <c r="G213" t="s">
        <v>853</v>
      </c>
      <c r="H213" t="str">
        <f t="shared" si="56"/>
        <v>Tuesday</v>
      </c>
      <c r="I213" t="str">
        <f t="shared" si="57"/>
        <v>Tue</v>
      </c>
      <c r="J213" t="str">
        <f t="shared" si="58"/>
        <v>day</v>
      </c>
      <c r="K213" t="str">
        <f t="shared" si="59"/>
        <v>Nov</v>
      </c>
      <c r="L213">
        <f t="shared" si="60"/>
        <v>2021</v>
      </c>
      <c r="M213" t="s">
        <v>854</v>
      </c>
      <c r="N213">
        <f t="shared" si="61"/>
        <v>29</v>
      </c>
      <c r="O213">
        <f t="shared" si="62"/>
        <v>32</v>
      </c>
      <c r="P213">
        <f t="shared" si="63"/>
        <v>9</v>
      </c>
      <c r="Q213">
        <v>77906</v>
      </c>
      <c r="R213">
        <v>72686</v>
      </c>
      <c r="S213" t="str">
        <f t="shared" si="64"/>
        <v>high target</v>
      </c>
      <c r="T213" t="str">
        <f t="shared" si="65"/>
        <v>high target</v>
      </c>
      <c r="U213" t="s">
        <v>56</v>
      </c>
      <c r="V213">
        <f t="shared" si="66"/>
        <v>16</v>
      </c>
      <c r="W213" t="str">
        <f t="shared" si="67"/>
        <v>HELPFUL ATTITUDE</v>
      </c>
      <c r="X213" t="str">
        <f t="shared" si="68"/>
        <v>helpful attitude</v>
      </c>
      <c r="Y213" t="str">
        <f t="shared" si="69"/>
        <v>Helpful Attitude</v>
      </c>
      <c r="AA213" t="e">
        <f t="shared" si="70"/>
        <v>#VALUE!</v>
      </c>
      <c r="AB213" t="e">
        <f t="shared" si="71"/>
        <v>#VALUE!</v>
      </c>
    </row>
    <row r="214" spans="1:28">
      <c r="A214" t="s">
        <v>855</v>
      </c>
      <c r="B214" t="s">
        <v>856</v>
      </c>
      <c r="C214" t="s">
        <v>26</v>
      </c>
      <c r="D214" t="str">
        <f t="shared" si="54"/>
        <v>Amit Verma(E1213)-Marketing</v>
      </c>
      <c r="E214" t="str">
        <f t="shared" si="55"/>
        <v>Marketing</v>
      </c>
      <c r="F214" t="s">
        <v>79</v>
      </c>
      <c r="G214" t="s">
        <v>857</v>
      </c>
      <c r="H214" t="str">
        <f t="shared" si="56"/>
        <v>Monday</v>
      </c>
      <c r="I214" t="str">
        <f t="shared" si="57"/>
        <v>Mon</v>
      </c>
      <c r="J214" t="str">
        <f t="shared" si="58"/>
        <v>day</v>
      </c>
      <c r="K214" t="str">
        <f t="shared" si="59"/>
        <v>May</v>
      </c>
      <c r="L214">
        <f t="shared" si="60"/>
        <v>2022</v>
      </c>
      <c r="M214" t="s">
        <v>858</v>
      </c>
      <c r="N214">
        <f t="shared" si="61"/>
        <v>22</v>
      </c>
      <c r="O214">
        <f t="shared" si="62"/>
        <v>37</v>
      </c>
      <c r="P214">
        <f t="shared" si="63"/>
        <v>8</v>
      </c>
      <c r="Q214">
        <v>31500</v>
      </c>
      <c r="R214">
        <v>43188</v>
      </c>
      <c r="S214" t="str">
        <f t="shared" si="64"/>
        <v>low target</v>
      </c>
      <c r="T214" t="str">
        <f t="shared" si="65"/>
        <v>mid target</v>
      </c>
      <c r="U214" t="s">
        <v>142</v>
      </c>
      <c r="V214">
        <f t="shared" si="66"/>
        <v>17</v>
      </c>
      <c r="W214" t="str">
        <f t="shared" si="67"/>
        <v>NEEDS IMPROVEMENT</v>
      </c>
      <c r="X214" t="str">
        <f t="shared" si="68"/>
        <v>needs improvement</v>
      </c>
      <c r="Y214" t="str">
        <f t="shared" si="69"/>
        <v>Needs Improvement</v>
      </c>
      <c r="AA214" t="e">
        <f t="shared" si="70"/>
        <v>#VALUE!</v>
      </c>
      <c r="AB214" t="e">
        <f t="shared" si="71"/>
        <v>#VALUE!</v>
      </c>
    </row>
    <row r="215" spans="1:28">
      <c r="A215" t="s">
        <v>859</v>
      </c>
      <c r="B215" t="s">
        <v>860</v>
      </c>
      <c r="C215" t="s">
        <v>26</v>
      </c>
      <c r="D215" t="str">
        <f t="shared" si="54"/>
        <v>Kavita Jain(E1214)-Marketing</v>
      </c>
      <c r="E215" t="str">
        <f t="shared" si="55"/>
        <v>Marketing</v>
      </c>
      <c r="F215" t="s">
        <v>12</v>
      </c>
      <c r="G215" t="s">
        <v>861</v>
      </c>
      <c r="H215" t="str">
        <f t="shared" si="56"/>
        <v>Friday</v>
      </c>
      <c r="I215" t="str">
        <f t="shared" si="57"/>
        <v>Fri</v>
      </c>
      <c r="J215" t="str">
        <f t="shared" si="58"/>
        <v>day</v>
      </c>
      <c r="K215" t="str">
        <f t="shared" si="59"/>
        <v>Jan</v>
      </c>
      <c r="L215">
        <f t="shared" si="60"/>
        <v>2024</v>
      </c>
      <c r="M215" t="s">
        <v>862</v>
      </c>
      <c r="N215">
        <f t="shared" si="61"/>
        <v>6</v>
      </c>
      <c r="O215">
        <f t="shared" si="62"/>
        <v>54</v>
      </c>
      <c r="P215">
        <f t="shared" si="63"/>
        <v>8</v>
      </c>
      <c r="Q215">
        <v>62018</v>
      </c>
      <c r="R215">
        <v>68241</v>
      </c>
      <c r="S215" t="str">
        <f t="shared" si="64"/>
        <v>high target</v>
      </c>
      <c r="T215" t="str">
        <f t="shared" si="65"/>
        <v>mid target</v>
      </c>
      <c r="U215" t="s">
        <v>487</v>
      </c>
      <c r="V215">
        <f t="shared" si="66"/>
        <v>13</v>
      </c>
      <c r="W215" t="str">
        <f t="shared" si="67"/>
        <v>GREAT SUPPORT</v>
      </c>
      <c r="X215" t="str">
        <f t="shared" si="68"/>
        <v>great support</v>
      </c>
      <c r="Y215" t="str">
        <f t="shared" si="69"/>
        <v>Great Support</v>
      </c>
      <c r="AA215" t="e">
        <f t="shared" si="70"/>
        <v>#VALUE!</v>
      </c>
      <c r="AB215" t="e">
        <f t="shared" si="71"/>
        <v>#VALUE!</v>
      </c>
    </row>
    <row r="216" spans="1:28">
      <c r="A216" t="s">
        <v>863</v>
      </c>
      <c r="B216" t="s">
        <v>864</v>
      </c>
      <c r="C216" t="s">
        <v>26</v>
      </c>
      <c r="D216" t="str">
        <f t="shared" si="54"/>
        <v>Vikram Reddy(E1215)-Marketing</v>
      </c>
      <c r="E216" t="str">
        <f t="shared" si="55"/>
        <v>Marketing</v>
      </c>
      <c r="F216" t="s">
        <v>34</v>
      </c>
      <c r="G216" t="s">
        <v>865</v>
      </c>
      <c r="H216" t="str">
        <f t="shared" si="56"/>
        <v>Saturday</v>
      </c>
      <c r="I216" t="str">
        <f t="shared" si="57"/>
        <v>Sat</v>
      </c>
      <c r="J216" t="str">
        <f t="shared" si="58"/>
        <v>day</v>
      </c>
      <c r="K216" t="str">
        <f t="shared" si="59"/>
        <v>Apr</v>
      </c>
      <c r="L216">
        <f t="shared" si="60"/>
        <v>2021</v>
      </c>
      <c r="M216" t="s">
        <v>866</v>
      </c>
      <c r="N216">
        <f t="shared" si="61"/>
        <v>36</v>
      </c>
      <c r="O216">
        <f t="shared" si="62"/>
        <v>3</v>
      </c>
      <c r="P216">
        <f t="shared" si="63"/>
        <v>9</v>
      </c>
      <c r="Q216">
        <v>74575</v>
      </c>
      <c r="R216">
        <v>76819</v>
      </c>
      <c r="S216" t="str">
        <f t="shared" si="64"/>
        <v>high target</v>
      </c>
      <c r="T216" t="str">
        <f t="shared" si="65"/>
        <v>high target</v>
      </c>
      <c r="U216" t="s">
        <v>121</v>
      </c>
      <c r="V216">
        <f t="shared" si="66"/>
        <v>14</v>
      </c>
      <c r="W216" t="str">
        <f t="shared" si="67"/>
        <v>CREATIVE IDEAS</v>
      </c>
      <c r="X216" t="str">
        <f t="shared" si="68"/>
        <v>creative ideas</v>
      </c>
      <c r="Y216" t="str">
        <f t="shared" si="69"/>
        <v>Creative Ideas</v>
      </c>
      <c r="AA216" t="e">
        <f t="shared" si="70"/>
        <v>#VALUE!</v>
      </c>
      <c r="AB216" t="e">
        <f t="shared" si="71"/>
        <v>#VALUE!</v>
      </c>
    </row>
    <row r="217" spans="1:28">
      <c r="A217" t="s">
        <v>867</v>
      </c>
      <c r="B217" t="s">
        <v>868</v>
      </c>
      <c r="C217" t="s">
        <v>11</v>
      </c>
      <c r="D217" t="str">
        <f t="shared" si="54"/>
        <v>Ritika Gupta(E1216)-Sales</v>
      </c>
      <c r="E217" t="str">
        <f t="shared" si="55"/>
        <v>Sales</v>
      </c>
      <c r="F217" t="s">
        <v>89</v>
      </c>
      <c r="G217" t="s">
        <v>869</v>
      </c>
      <c r="H217" t="str">
        <f t="shared" si="56"/>
        <v>Monday</v>
      </c>
      <c r="I217" t="str">
        <f t="shared" si="57"/>
        <v>Mon</v>
      </c>
      <c r="J217" t="str">
        <f t="shared" si="58"/>
        <v>day</v>
      </c>
      <c r="K217" t="str">
        <f t="shared" si="59"/>
        <v>Oct</v>
      </c>
      <c r="L217">
        <f t="shared" si="60"/>
        <v>2023</v>
      </c>
      <c r="M217" t="s">
        <v>870</v>
      </c>
      <c r="N217">
        <f t="shared" si="61"/>
        <v>35</v>
      </c>
      <c r="O217">
        <f t="shared" si="62"/>
        <v>48</v>
      </c>
      <c r="P217">
        <f t="shared" si="63"/>
        <v>9</v>
      </c>
      <c r="Q217">
        <v>51117</v>
      </c>
      <c r="R217">
        <v>58331</v>
      </c>
      <c r="S217" t="str">
        <f t="shared" si="64"/>
        <v>high target</v>
      </c>
      <c r="T217" t="str">
        <f t="shared" si="65"/>
        <v>mid target</v>
      </c>
      <c r="U217" t="s">
        <v>112</v>
      </c>
      <c r="V217">
        <f t="shared" si="66"/>
        <v>14</v>
      </c>
      <c r="W217" t="str">
        <f t="shared" si="67"/>
        <v>QUICK RESPONSE</v>
      </c>
      <c r="X217" t="str">
        <f t="shared" si="68"/>
        <v>quick response</v>
      </c>
      <c r="Y217" t="str">
        <f t="shared" si="69"/>
        <v>Quick Response</v>
      </c>
      <c r="AA217" t="e">
        <f t="shared" si="70"/>
        <v>#VALUE!</v>
      </c>
      <c r="AB217" t="e">
        <f t="shared" si="71"/>
        <v>#VALUE!</v>
      </c>
    </row>
    <row r="218" spans="1:28">
      <c r="A218" t="s">
        <v>871</v>
      </c>
      <c r="B218" t="s">
        <v>47</v>
      </c>
      <c r="C218" t="s">
        <v>41</v>
      </c>
      <c r="D218" t="str">
        <f t="shared" si="54"/>
        <v>Neha Bansal(E1217)-Finance</v>
      </c>
      <c r="E218" t="str">
        <f t="shared" si="55"/>
        <v>Finance</v>
      </c>
      <c r="F218" t="s">
        <v>34</v>
      </c>
      <c r="G218" t="s">
        <v>872</v>
      </c>
      <c r="H218" t="str">
        <f t="shared" si="56"/>
        <v>Saturday</v>
      </c>
      <c r="I218" t="str">
        <f t="shared" si="57"/>
        <v>Sat</v>
      </c>
      <c r="J218" t="str">
        <f t="shared" si="58"/>
        <v>day</v>
      </c>
      <c r="K218" t="str">
        <f t="shared" si="59"/>
        <v>Feb</v>
      </c>
      <c r="L218">
        <f t="shared" si="60"/>
        <v>2024</v>
      </c>
      <c r="M218" t="s">
        <v>873</v>
      </c>
      <c r="N218">
        <f t="shared" si="61"/>
        <v>9</v>
      </c>
      <c r="O218">
        <f t="shared" si="62"/>
        <v>48</v>
      </c>
      <c r="P218">
        <f t="shared" si="63"/>
        <v>9</v>
      </c>
      <c r="Q218">
        <v>71410</v>
      </c>
      <c r="R218">
        <v>53045</v>
      </c>
      <c r="S218" t="str">
        <f t="shared" si="64"/>
        <v>high target</v>
      </c>
      <c r="T218" t="str">
        <f t="shared" si="65"/>
        <v>mid target</v>
      </c>
      <c r="U218" t="s">
        <v>168</v>
      </c>
      <c r="V218">
        <f t="shared" si="66"/>
        <v>17</v>
      </c>
      <c r="W218" t="str">
        <f t="shared" si="67"/>
        <v>DETAILED ANALYSIS</v>
      </c>
      <c r="X218" t="str">
        <f t="shared" si="68"/>
        <v>detailed analysis</v>
      </c>
      <c r="Y218" t="str">
        <f t="shared" si="69"/>
        <v>Detailed Analysis</v>
      </c>
      <c r="AA218" t="e">
        <f t="shared" si="70"/>
        <v>#VALUE!</v>
      </c>
      <c r="AB218" t="e">
        <f t="shared" si="71"/>
        <v>#VALUE!</v>
      </c>
    </row>
    <row r="219" spans="1:28">
      <c r="A219" t="s">
        <v>874</v>
      </c>
      <c r="B219" t="s">
        <v>819</v>
      </c>
      <c r="C219" t="s">
        <v>11</v>
      </c>
      <c r="D219" t="str">
        <f t="shared" si="54"/>
        <v>Aakash Patel(E1218)-Sales</v>
      </c>
      <c r="E219" t="str">
        <f t="shared" si="55"/>
        <v>Sales</v>
      </c>
      <c r="F219" t="s">
        <v>72</v>
      </c>
      <c r="G219" t="s">
        <v>875</v>
      </c>
      <c r="H219" t="str">
        <f t="shared" si="56"/>
        <v>Friday</v>
      </c>
      <c r="I219" t="str">
        <f t="shared" si="57"/>
        <v>Fri</v>
      </c>
      <c r="J219" t="str">
        <f t="shared" si="58"/>
        <v>day</v>
      </c>
      <c r="K219" t="str">
        <f t="shared" si="59"/>
        <v>Oct</v>
      </c>
      <c r="L219">
        <f t="shared" si="60"/>
        <v>2021</v>
      </c>
      <c r="M219" t="s">
        <v>876</v>
      </c>
      <c r="N219">
        <f t="shared" si="61"/>
        <v>51</v>
      </c>
      <c r="O219">
        <f t="shared" si="62"/>
        <v>21</v>
      </c>
      <c r="P219">
        <f t="shared" si="63"/>
        <v>10</v>
      </c>
      <c r="Q219">
        <v>90081</v>
      </c>
      <c r="R219">
        <v>71047</v>
      </c>
      <c r="S219" t="str">
        <f t="shared" si="64"/>
        <v>high target</v>
      </c>
      <c r="T219" t="str">
        <f t="shared" si="65"/>
        <v>high target</v>
      </c>
      <c r="U219" t="s">
        <v>56</v>
      </c>
      <c r="V219">
        <f t="shared" si="66"/>
        <v>16</v>
      </c>
      <c r="W219" t="str">
        <f t="shared" si="67"/>
        <v>HELPFUL ATTITUDE</v>
      </c>
      <c r="X219" t="str">
        <f t="shared" si="68"/>
        <v>helpful attitude</v>
      </c>
      <c r="Y219" t="str">
        <f t="shared" si="69"/>
        <v>Helpful Attitude</v>
      </c>
      <c r="AA219" t="e">
        <f t="shared" si="70"/>
        <v>#VALUE!</v>
      </c>
      <c r="AB219" t="e">
        <f t="shared" si="71"/>
        <v>#VALUE!</v>
      </c>
    </row>
    <row r="220" spans="1:28">
      <c r="A220" t="s">
        <v>877</v>
      </c>
      <c r="B220" t="s">
        <v>786</v>
      </c>
      <c r="C220" t="s">
        <v>53</v>
      </c>
      <c r="D220" t="str">
        <f t="shared" si="54"/>
        <v>Arjun Jain(E1219)-HR</v>
      </c>
      <c r="E220" t="str">
        <f t="shared" si="55"/>
        <v>HR</v>
      </c>
      <c r="F220" t="s">
        <v>34</v>
      </c>
      <c r="G220" t="s">
        <v>878</v>
      </c>
      <c r="H220" t="str">
        <f t="shared" si="56"/>
        <v>Sunday</v>
      </c>
      <c r="I220" t="str">
        <f t="shared" si="57"/>
        <v>Sun</v>
      </c>
      <c r="J220" t="str">
        <f t="shared" si="58"/>
        <v>day</v>
      </c>
      <c r="K220" t="str">
        <f t="shared" si="59"/>
        <v>Jun</v>
      </c>
      <c r="L220">
        <f t="shared" si="60"/>
        <v>2024</v>
      </c>
      <c r="M220" t="s">
        <v>879</v>
      </c>
      <c r="N220">
        <f t="shared" si="61"/>
        <v>25</v>
      </c>
      <c r="O220">
        <f t="shared" si="62"/>
        <v>10</v>
      </c>
      <c r="P220">
        <f t="shared" si="63"/>
        <v>9</v>
      </c>
      <c r="Q220">
        <v>85012</v>
      </c>
      <c r="R220">
        <v>80402</v>
      </c>
      <c r="S220" t="str">
        <f t="shared" si="64"/>
        <v>high target</v>
      </c>
      <c r="T220" t="str">
        <f t="shared" si="65"/>
        <v>high target</v>
      </c>
      <c r="U220" t="s">
        <v>15</v>
      </c>
      <c r="V220">
        <f t="shared" si="66"/>
        <v>20</v>
      </c>
      <c r="W220" t="str">
        <f t="shared" si="67"/>
        <v>EXCELLENT LEADERSHIP</v>
      </c>
      <c r="X220" t="str">
        <f t="shared" si="68"/>
        <v>excellent leadership</v>
      </c>
      <c r="Y220" t="str">
        <f t="shared" si="69"/>
        <v>Excellent Leadership</v>
      </c>
      <c r="AA220" t="e">
        <f t="shared" si="70"/>
        <v>#VALUE!</v>
      </c>
      <c r="AB220" t="e">
        <f t="shared" si="71"/>
        <v>#VALUE!</v>
      </c>
    </row>
    <row r="221" spans="1:28">
      <c r="A221" t="s">
        <v>880</v>
      </c>
      <c r="B221" t="s">
        <v>881</v>
      </c>
      <c r="C221" t="s">
        <v>26</v>
      </c>
      <c r="D221" t="str">
        <f t="shared" si="54"/>
        <v>Rohan Saxena(E1220)-Marketing</v>
      </c>
      <c r="E221" t="str">
        <f t="shared" si="55"/>
        <v>Marketing</v>
      </c>
      <c r="F221" t="s">
        <v>12</v>
      </c>
      <c r="G221" t="s">
        <v>882</v>
      </c>
      <c r="H221" t="str">
        <f t="shared" si="56"/>
        <v>Thursday</v>
      </c>
      <c r="I221" t="str">
        <f t="shared" si="57"/>
        <v>Thu</v>
      </c>
      <c r="J221" t="str">
        <f t="shared" si="58"/>
        <v>day</v>
      </c>
      <c r="K221" t="str">
        <f t="shared" si="59"/>
        <v>Aug</v>
      </c>
      <c r="L221">
        <f t="shared" si="60"/>
        <v>2023</v>
      </c>
      <c r="M221" t="s">
        <v>883</v>
      </c>
      <c r="N221">
        <f t="shared" si="61"/>
        <v>21</v>
      </c>
      <c r="O221">
        <f t="shared" si="62"/>
        <v>23</v>
      </c>
      <c r="P221">
        <f t="shared" si="63"/>
        <v>8</v>
      </c>
      <c r="Q221">
        <v>76341</v>
      </c>
      <c r="R221">
        <v>84158</v>
      </c>
      <c r="S221" t="str">
        <f t="shared" si="64"/>
        <v>high target</v>
      </c>
      <c r="T221" t="str">
        <f t="shared" si="65"/>
        <v>high target</v>
      </c>
      <c r="U221" t="s">
        <v>168</v>
      </c>
      <c r="V221">
        <f t="shared" si="66"/>
        <v>17</v>
      </c>
      <c r="W221" t="str">
        <f t="shared" si="67"/>
        <v>DETAILED ANALYSIS</v>
      </c>
      <c r="X221" t="str">
        <f t="shared" si="68"/>
        <v>detailed analysis</v>
      </c>
      <c r="Y221" t="str">
        <f t="shared" si="69"/>
        <v>Detailed Analysis</v>
      </c>
      <c r="AA221" t="e">
        <f t="shared" si="70"/>
        <v>#VALUE!</v>
      </c>
      <c r="AB221" t="e">
        <f t="shared" si="71"/>
        <v>#VALUE!</v>
      </c>
    </row>
    <row r="222" spans="1:28">
      <c r="A222" t="s">
        <v>884</v>
      </c>
      <c r="B222" t="s">
        <v>885</v>
      </c>
      <c r="C222" t="s">
        <v>11</v>
      </c>
      <c r="D222" t="str">
        <f t="shared" si="54"/>
        <v>Manish Gupta(E1221)-Sales</v>
      </c>
      <c r="E222" t="str">
        <f t="shared" si="55"/>
        <v>Sales</v>
      </c>
      <c r="F222" t="s">
        <v>79</v>
      </c>
      <c r="G222" t="s">
        <v>886</v>
      </c>
      <c r="H222" t="str">
        <f t="shared" si="56"/>
        <v>Tuesday</v>
      </c>
      <c r="I222" t="str">
        <f t="shared" si="57"/>
        <v>Tue</v>
      </c>
      <c r="J222" t="str">
        <f t="shared" si="58"/>
        <v>day</v>
      </c>
      <c r="K222" t="str">
        <f t="shared" si="59"/>
        <v>Jun</v>
      </c>
      <c r="L222">
        <f t="shared" si="60"/>
        <v>2022</v>
      </c>
      <c r="M222" t="s">
        <v>887</v>
      </c>
      <c r="N222">
        <f t="shared" si="61"/>
        <v>49</v>
      </c>
      <c r="O222">
        <f t="shared" si="62"/>
        <v>50</v>
      </c>
      <c r="P222">
        <f t="shared" si="63"/>
        <v>10</v>
      </c>
      <c r="Q222">
        <v>77822</v>
      </c>
      <c r="R222">
        <v>77910</v>
      </c>
      <c r="S222" t="str">
        <f t="shared" si="64"/>
        <v>high target</v>
      </c>
      <c r="T222" t="str">
        <f t="shared" si="65"/>
        <v>high target</v>
      </c>
      <c r="U222" t="s">
        <v>22</v>
      </c>
      <c r="V222">
        <f t="shared" si="66"/>
        <v>13</v>
      </c>
      <c r="W222" t="str">
        <f t="shared" si="67"/>
        <v>FAST DELIVERY</v>
      </c>
      <c r="X222" t="str">
        <f t="shared" si="68"/>
        <v>fast delivery</v>
      </c>
      <c r="Y222" t="str">
        <f t="shared" si="69"/>
        <v>Fast Delivery</v>
      </c>
      <c r="AA222" t="e">
        <f t="shared" si="70"/>
        <v>#VALUE!</v>
      </c>
      <c r="AB222" t="e">
        <f t="shared" si="71"/>
        <v>#VALUE!</v>
      </c>
    </row>
    <row r="223" spans="1:28">
      <c r="A223" t="s">
        <v>888</v>
      </c>
      <c r="B223" t="s">
        <v>161</v>
      </c>
      <c r="C223" t="s">
        <v>26</v>
      </c>
      <c r="D223" t="str">
        <f t="shared" si="54"/>
        <v>Priya Mishra(E1222)-Marketing</v>
      </c>
      <c r="E223" t="str">
        <f t="shared" si="55"/>
        <v>Marketing</v>
      </c>
      <c r="F223" t="s">
        <v>65</v>
      </c>
      <c r="G223" t="s">
        <v>889</v>
      </c>
      <c r="H223" t="str">
        <f t="shared" si="56"/>
        <v>Sunday</v>
      </c>
      <c r="I223" t="str">
        <f t="shared" si="57"/>
        <v>Sun</v>
      </c>
      <c r="J223" t="str">
        <f t="shared" si="58"/>
        <v>day</v>
      </c>
      <c r="K223" t="str">
        <f t="shared" si="59"/>
        <v>Dec</v>
      </c>
      <c r="L223">
        <f t="shared" si="60"/>
        <v>2023</v>
      </c>
      <c r="M223" t="s">
        <v>890</v>
      </c>
      <c r="N223">
        <f t="shared" si="61"/>
        <v>39</v>
      </c>
      <c r="O223">
        <f t="shared" si="62"/>
        <v>46</v>
      </c>
      <c r="P223">
        <f t="shared" si="63"/>
        <v>10</v>
      </c>
      <c r="Q223">
        <v>100680</v>
      </c>
      <c r="R223">
        <v>90764</v>
      </c>
      <c r="S223" t="str">
        <f t="shared" si="64"/>
        <v>high target</v>
      </c>
      <c r="T223" t="str">
        <f t="shared" si="65"/>
        <v>high target</v>
      </c>
      <c r="U223" t="s">
        <v>112</v>
      </c>
      <c r="V223">
        <f t="shared" si="66"/>
        <v>14</v>
      </c>
      <c r="W223" t="str">
        <f t="shared" si="67"/>
        <v>QUICK RESPONSE</v>
      </c>
      <c r="X223" t="str">
        <f t="shared" si="68"/>
        <v>quick response</v>
      </c>
      <c r="Y223" t="str">
        <f t="shared" si="69"/>
        <v>Quick Response</v>
      </c>
      <c r="AA223" t="e">
        <f t="shared" si="70"/>
        <v>#VALUE!</v>
      </c>
      <c r="AB223" t="e">
        <f t="shared" si="71"/>
        <v>#VALUE!</v>
      </c>
    </row>
    <row r="224" spans="1:28">
      <c r="A224" t="s">
        <v>891</v>
      </c>
      <c r="B224" t="s">
        <v>251</v>
      </c>
      <c r="C224" t="s">
        <v>11</v>
      </c>
      <c r="D224" t="str">
        <f t="shared" si="54"/>
        <v>Varun Nair(E1223)-Sales</v>
      </c>
      <c r="E224" t="str">
        <f t="shared" si="55"/>
        <v>Sales</v>
      </c>
      <c r="F224" t="s">
        <v>19</v>
      </c>
      <c r="G224" t="s">
        <v>892</v>
      </c>
      <c r="H224" t="str">
        <f t="shared" si="56"/>
        <v>Wednesday</v>
      </c>
      <c r="I224" t="str">
        <f t="shared" si="57"/>
        <v>Wed</v>
      </c>
      <c r="J224" t="str">
        <f t="shared" si="58"/>
        <v>day</v>
      </c>
      <c r="K224" t="str">
        <f t="shared" si="59"/>
        <v>Jan</v>
      </c>
      <c r="L224">
        <f t="shared" si="60"/>
        <v>2022</v>
      </c>
      <c r="M224" t="s">
        <v>893</v>
      </c>
      <c r="N224">
        <f t="shared" si="61"/>
        <v>20</v>
      </c>
      <c r="O224">
        <f t="shared" si="62"/>
        <v>28</v>
      </c>
      <c r="P224">
        <f t="shared" si="63"/>
        <v>8</v>
      </c>
      <c r="Q224">
        <v>62369</v>
      </c>
      <c r="R224">
        <v>67445</v>
      </c>
      <c r="S224" t="str">
        <f t="shared" si="64"/>
        <v>high target</v>
      </c>
      <c r="T224" t="str">
        <f t="shared" si="65"/>
        <v>mid target</v>
      </c>
      <c r="U224" t="s">
        <v>168</v>
      </c>
      <c r="V224">
        <f t="shared" si="66"/>
        <v>17</v>
      </c>
      <c r="W224" t="str">
        <f t="shared" si="67"/>
        <v>DETAILED ANALYSIS</v>
      </c>
      <c r="X224" t="str">
        <f t="shared" si="68"/>
        <v>detailed analysis</v>
      </c>
      <c r="Y224" t="str">
        <f t="shared" si="69"/>
        <v>Detailed Analysis</v>
      </c>
      <c r="AA224" t="e">
        <f t="shared" si="70"/>
        <v>#VALUE!</v>
      </c>
      <c r="AB224" t="e">
        <f t="shared" si="71"/>
        <v>#VALUE!</v>
      </c>
    </row>
    <row r="225" spans="1:28">
      <c r="A225" t="s">
        <v>894</v>
      </c>
      <c r="B225" t="s">
        <v>317</v>
      </c>
      <c r="C225" t="s">
        <v>26</v>
      </c>
      <c r="D225" t="str">
        <f t="shared" si="54"/>
        <v>Siddharth Mehta(E1224)-Marketing</v>
      </c>
      <c r="E225" t="str">
        <f t="shared" si="55"/>
        <v>Marketing</v>
      </c>
      <c r="F225" t="s">
        <v>79</v>
      </c>
      <c r="G225" t="s">
        <v>895</v>
      </c>
      <c r="H225" t="str">
        <f t="shared" si="56"/>
        <v>Saturday</v>
      </c>
      <c r="I225" t="str">
        <f t="shared" si="57"/>
        <v>Sat</v>
      </c>
      <c r="J225" t="str">
        <f t="shared" si="58"/>
        <v>day</v>
      </c>
      <c r="K225" t="str">
        <f t="shared" si="59"/>
        <v>May</v>
      </c>
      <c r="L225">
        <f t="shared" si="60"/>
        <v>2021</v>
      </c>
      <c r="M225" t="s">
        <v>896</v>
      </c>
      <c r="N225">
        <f t="shared" si="61"/>
        <v>33</v>
      </c>
      <c r="O225">
        <f t="shared" si="62"/>
        <v>8</v>
      </c>
      <c r="P225">
        <f t="shared" si="63"/>
        <v>10</v>
      </c>
      <c r="Q225">
        <v>59890</v>
      </c>
      <c r="R225">
        <v>53588</v>
      </c>
      <c r="S225" t="str">
        <f t="shared" si="64"/>
        <v>high target</v>
      </c>
      <c r="T225" t="str">
        <f t="shared" si="65"/>
        <v>mid target</v>
      </c>
      <c r="U225" t="s">
        <v>68</v>
      </c>
      <c r="V225">
        <f t="shared" si="66"/>
        <v>13</v>
      </c>
      <c r="W225" t="str">
        <f t="shared" si="67"/>
        <v>GOOD TEAMWORK</v>
      </c>
      <c r="X225" t="str">
        <f t="shared" si="68"/>
        <v>good teamwork</v>
      </c>
      <c r="Y225" t="str">
        <f t="shared" si="69"/>
        <v>Good Teamwork</v>
      </c>
      <c r="AA225" t="e">
        <f t="shared" si="70"/>
        <v>#VALUE!</v>
      </c>
      <c r="AB225" t="e">
        <f t="shared" si="71"/>
        <v>#VALUE!</v>
      </c>
    </row>
    <row r="226" spans="1:28">
      <c r="A226" t="s">
        <v>897</v>
      </c>
      <c r="B226" t="s">
        <v>898</v>
      </c>
      <c r="C226" t="s">
        <v>26</v>
      </c>
      <c r="D226" t="str">
        <f t="shared" si="54"/>
        <v>Kavita Saxena(E1225)-Marketing</v>
      </c>
      <c r="E226" t="str">
        <f t="shared" si="55"/>
        <v>Marketing</v>
      </c>
      <c r="F226" t="s">
        <v>34</v>
      </c>
      <c r="G226" t="s">
        <v>899</v>
      </c>
      <c r="H226" t="str">
        <f t="shared" si="56"/>
        <v>Tuesday</v>
      </c>
      <c r="I226" t="str">
        <f t="shared" si="57"/>
        <v>Tue</v>
      </c>
      <c r="J226" t="str">
        <f t="shared" si="58"/>
        <v>day</v>
      </c>
      <c r="K226" t="str">
        <f t="shared" si="59"/>
        <v>Dec</v>
      </c>
      <c r="L226">
        <f t="shared" si="60"/>
        <v>2021</v>
      </c>
      <c r="M226" t="s">
        <v>900</v>
      </c>
      <c r="N226">
        <f t="shared" si="61"/>
        <v>34</v>
      </c>
      <c r="O226">
        <f t="shared" si="62"/>
        <v>58</v>
      </c>
      <c r="P226">
        <f t="shared" si="63"/>
        <v>9</v>
      </c>
      <c r="Q226">
        <v>70652</v>
      </c>
      <c r="R226">
        <v>62434</v>
      </c>
      <c r="S226" t="str">
        <f t="shared" si="64"/>
        <v>high target</v>
      </c>
      <c r="T226" t="str">
        <f t="shared" si="65"/>
        <v>mid target</v>
      </c>
      <c r="U226" t="s">
        <v>68</v>
      </c>
      <c r="V226">
        <f t="shared" si="66"/>
        <v>13</v>
      </c>
      <c r="W226" t="str">
        <f t="shared" si="67"/>
        <v>GOOD TEAMWORK</v>
      </c>
      <c r="X226" t="str">
        <f t="shared" si="68"/>
        <v>good teamwork</v>
      </c>
      <c r="Y226" t="str">
        <f t="shared" si="69"/>
        <v>Good Teamwork</v>
      </c>
      <c r="AA226" t="e">
        <f t="shared" si="70"/>
        <v>#VALUE!</v>
      </c>
      <c r="AB226" t="e">
        <f t="shared" si="71"/>
        <v>#VALUE!</v>
      </c>
    </row>
    <row r="227" spans="1:28">
      <c r="A227" t="s">
        <v>901</v>
      </c>
      <c r="B227" t="s">
        <v>902</v>
      </c>
      <c r="C227" t="s">
        <v>26</v>
      </c>
      <c r="D227" t="str">
        <f t="shared" si="54"/>
        <v>Harsh Shah(E1226)-Marketing</v>
      </c>
      <c r="E227" t="str">
        <f t="shared" si="55"/>
        <v>Marketing</v>
      </c>
      <c r="F227" t="s">
        <v>27</v>
      </c>
      <c r="G227" t="s">
        <v>903</v>
      </c>
      <c r="H227" t="str">
        <f t="shared" si="56"/>
        <v>Friday</v>
      </c>
      <c r="I227" t="str">
        <f t="shared" si="57"/>
        <v>Fri</v>
      </c>
      <c r="J227" t="str">
        <f t="shared" si="58"/>
        <v>day</v>
      </c>
      <c r="K227" t="str">
        <f t="shared" si="59"/>
        <v>May</v>
      </c>
      <c r="L227">
        <f t="shared" si="60"/>
        <v>2022</v>
      </c>
      <c r="M227" t="s">
        <v>904</v>
      </c>
      <c r="N227">
        <f t="shared" si="61"/>
        <v>19</v>
      </c>
      <c r="O227">
        <f t="shared" si="62"/>
        <v>35</v>
      </c>
      <c r="P227">
        <f t="shared" si="63"/>
        <v>9</v>
      </c>
      <c r="Q227">
        <v>59240</v>
      </c>
      <c r="R227">
        <v>54736</v>
      </c>
      <c r="S227" t="str">
        <f t="shared" si="64"/>
        <v>high target</v>
      </c>
      <c r="T227" t="str">
        <f t="shared" si="65"/>
        <v>mid target</v>
      </c>
      <c r="U227" t="s">
        <v>30</v>
      </c>
      <c r="V227">
        <f t="shared" si="66"/>
        <v>16</v>
      </c>
      <c r="W227" t="str">
        <f t="shared" si="67"/>
        <v>CUSTOMER FOCUSED</v>
      </c>
      <c r="X227" t="str">
        <f t="shared" si="68"/>
        <v>customer focused</v>
      </c>
      <c r="Y227" t="str">
        <f t="shared" si="69"/>
        <v>Customer Focused</v>
      </c>
      <c r="AA227" t="e">
        <f t="shared" si="70"/>
        <v>#VALUE!</v>
      </c>
      <c r="AB227" t="e">
        <f t="shared" si="71"/>
        <v>#VALUE!</v>
      </c>
    </row>
    <row r="228" spans="1:28">
      <c r="A228" t="s">
        <v>905</v>
      </c>
      <c r="B228" t="s">
        <v>906</v>
      </c>
      <c r="C228" t="s">
        <v>26</v>
      </c>
      <c r="D228" t="str">
        <f t="shared" si="54"/>
        <v>Anjali Mehta(E1227)-Marketing</v>
      </c>
      <c r="E228" t="str">
        <f t="shared" si="55"/>
        <v>Marketing</v>
      </c>
      <c r="F228" t="s">
        <v>34</v>
      </c>
      <c r="G228" t="s">
        <v>907</v>
      </c>
      <c r="H228" t="str">
        <f t="shared" si="56"/>
        <v>Sunday</v>
      </c>
      <c r="I228" t="str">
        <f t="shared" si="57"/>
        <v>Sun</v>
      </c>
      <c r="J228" t="str">
        <f t="shared" si="58"/>
        <v>day</v>
      </c>
      <c r="K228" t="str">
        <f t="shared" si="59"/>
        <v>Sep</v>
      </c>
      <c r="L228">
        <f t="shared" si="60"/>
        <v>2023</v>
      </c>
      <c r="M228" t="s">
        <v>908</v>
      </c>
      <c r="N228">
        <f t="shared" si="61"/>
        <v>59</v>
      </c>
      <c r="O228">
        <f t="shared" si="62"/>
        <v>35</v>
      </c>
      <c r="P228">
        <f t="shared" si="63"/>
        <v>9</v>
      </c>
      <c r="Q228">
        <v>95048</v>
      </c>
      <c r="R228">
        <v>92127</v>
      </c>
      <c r="S228" t="str">
        <f t="shared" si="64"/>
        <v>high target</v>
      </c>
      <c r="T228" t="str">
        <f t="shared" si="65"/>
        <v>high target</v>
      </c>
      <c r="U228" t="s">
        <v>142</v>
      </c>
      <c r="V228">
        <f t="shared" si="66"/>
        <v>17</v>
      </c>
      <c r="W228" t="str">
        <f t="shared" si="67"/>
        <v>NEEDS IMPROVEMENT</v>
      </c>
      <c r="X228" t="str">
        <f t="shared" si="68"/>
        <v>needs improvement</v>
      </c>
      <c r="Y228" t="str">
        <f t="shared" si="69"/>
        <v>Needs Improvement</v>
      </c>
      <c r="AA228" t="e">
        <f t="shared" si="70"/>
        <v>#VALUE!</v>
      </c>
      <c r="AB228" t="e">
        <f t="shared" si="71"/>
        <v>#VALUE!</v>
      </c>
    </row>
    <row r="229" spans="1:28">
      <c r="A229" t="s">
        <v>909</v>
      </c>
      <c r="B229" t="s">
        <v>910</v>
      </c>
      <c r="C229" t="s">
        <v>26</v>
      </c>
      <c r="D229" t="str">
        <f t="shared" si="54"/>
        <v>Neha Mishra(E1228)-Marketing</v>
      </c>
      <c r="E229" t="str">
        <f t="shared" si="55"/>
        <v>Marketing</v>
      </c>
      <c r="F229" t="s">
        <v>89</v>
      </c>
      <c r="G229" t="s">
        <v>911</v>
      </c>
      <c r="H229" t="str">
        <f t="shared" si="56"/>
        <v>Thursday</v>
      </c>
      <c r="I229" t="str">
        <f t="shared" si="57"/>
        <v>Thu</v>
      </c>
      <c r="J229" t="str">
        <f t="shared" si="58"/>
        <v>day</v>
      </c>
      <c r="K229" t="str">
        <f t="shared" si="59"/>
        <v>Dec</v>
      </c>
      <c r="L229">
        <f t="shared" si="60"/>
        <v>2022</v>
      </c>
      <c r="M229" t="s">
        <v>912</v>
      </c>
      <c r="N229">
        <f t="shared" si="61"/>
        <v>2</v>
      </c>
      <c r="O229">
        <f t="shared" si="62"/>
        <v>18</v>
      </c>
      <c r="P229">
        <f t="shared" si="63"/>
        <v>8</v>
      </c>
      <c r="Q229">
        <v>49029</v>
      </c>
      <c r="R229">
        <v>58850</v>
      </c>
      <c r="S229" t="str">
        <f t="shared" si="64"/>
        <v>high target</v>
      </c>
      <c r="T229" t="str">
        <f t="shared" si="65"/>
        <v>mid target</v>
      </c>
      <c r="U229" t="s">
        <v>121</v>
      </c>
      <c r="V229">
        <f t="shared" si="66"/>
        <v>14</v>
      </c>
      <c r="W229" t="str">
        <f t="shared" si="67"/>
        <v>CREATIVE IDEAS</v>
      </c>
      <c r="X229" t="str">
        <f t="shared" si="68"/>
        <v>creative ideas</v>
      </c>
      <c r="Y229" t="str">
        <f t="shared" si="69"/>
        <v>Creative Ideas</v>
      </c>
      <c r="AA229" t="e">
        <f t="shared" si="70"/>
        <v>#VALUE!</v>
      </c>
      <c r="AB229" t="e">
        <f t="shared" si="71"/>
        <v>#VALUE!</v>
      </c>
    </row>
    <row r="230" spans="1:28">
      <c r="A230" t="s">
        <v>913</v>
      </c>
      <c r="B230" t="s">
        <v>914</v>
      </c>
      <c r="C230" t="s">
        <v>41</v>
      </c>
      <c r="D230" t="str">
        <f t="shared" si="54"/>
        <v>Madhuri Malhotra(E1229)-Finance</v>
      </c>
      <c r="E230" t="str">
        <f t="shared" si="55"/>
        <v>Finance</v>
      </c>
      <c r="F230" t="s">
        <v>79</v>
      </c>
      <c r="G230" t="s">
        <v>915</v>
      </c>
      <c r="H230" t="str">
        <f t="shared" si="56"/>
        <v>Tuesday</v>
      </c>
      <c r="I230" t="str">
        <f t="shared" si="57"/>
        <v>Tue</v>
      </c>
      <c r="J230" t="str">
        <f t="shared" si="58"/>
        <v>day</v>
      </c>
      <c r="K230" t="str">
        <f t="shared" si="59"/>
        <v>Mar</v>
      </c>
      <c r="L230">
        <f t="shared" si="60"/>
        <v>2022</v>
      </c>
      <c r="M230" t="s">
        <v>916</v>
      </c>
      <c r="N230">
        <f t="shared" si="61"/>
        <v>34</v>
      </c>
      <c r="O230">
        <f t="shared" si="62"/>
        <v>52</v>
      </c>
      <c r="P230">
        <f t="shared" si="63"/>
        <v>8</v>
      </c>
      <c r="Q230">
        <v>60568</v>
      </c>
      <c r="R230">
        <v>57768</v>
      </c>
      <c r="S230" t="str">
        <f t="shared" si="64"/>
        <v>high target</v>
      </c>
      <c r="T230" t="str">
        <f t="shared" si="65"/>
        <v>mid target</v>
      </c>
      <c r="U230" t="s">
        <v>112</v>
      </c>
      <c r="V230">
        <f t="shared" si="66"/>
        <v>14</v>
      </c>
      <c r="W230" t="str">
        <f t="shared" si="67"/>
        <v>QUICK RESPONSE</v>
      </c>
      <c r="X230" t="str">
        <f t="shared" si="68"/>
        <v>quick response</v>
      </c>
      <c r="Y230" t="str">
        <f t="shared" si="69"/>
        <v>Quick Response</v>
      </c>
      <c r="AA230" t="e">
        <f t="shared" si="70"/>
        <v>#VALUE!</v>
      </c>
      <c r="AB230" t="e">
        <f t="shared" si="71"/>
        <v>#VALUE!</v>
      </c>
    </row>
    <row r="231" spans="1:28">
      <c r="A231" t="s">
        <v>917</v>
      </c>
      <c r="B231" t="s">
        <v>918</v>
      </c>
      <c r="C231" t="s">
        <v>53</v>
      </c>
      <c r="D231" t="str">
        <f t="shared" si="54"/>
        <v>Neha Jain(E1230)-HR</v>
      </c>
      <c r="E231" t="str">
        <f t="shared" si="55"/>
        <v>HR</v>
      </c>
      <c r="F231" t="s">
        <v>27</v>
      </c>
      <c r="G231" t="s">
        <v>919</v>
      </c>
      <c r="H231" t="str">
        <f t="shared" si="56"/>
        <v>Wednesday</v>
      </c>
      <c r="I231" t="str">
        <f t="shared" si="57"/>
        <v>Wed</v>
      </c>
      <c r="J231" t="str">
        <f t="shared" si="58"/>
        <v>day</v>
      </c>
      <c r="K231" t="str">
        <f t="shared" si="59"/>
        <v>Apr</v>
      </c>
      <c r="L231">
        <f t="shared" si="60"/>
        <v>2021</v>
      </c>
      <c r="M231" t="s">
        <v>920</v>
      </c>
      <c r="N231">
        <f t="shared" si="61"/>
        <v>33</v>
      </c>
      <c r="O231">
        <f t="shared" si="62"/>
        <v>57</v>
      </c>
      <c r="P231">
        <f t="shared" si="63"/>
        <v>10</v>
      </c>
      <c r="Q231">
        <v>55048</v>
      </c>
      <c r="R231">
        <v>54789</v>
      </c>
      <c r="S231" t="str">
        <f t="shared" si="64"/>
        <v>high target</v>
      </c>
      <c r="T231" t="str">
        <f t="shared" si="65"/>
        <v>mid target</v>
      </c>
      <c r="U231" t="s">
        <v>159</v>
      </c>
      <c r="V231">
        <f t="shared" si="66"/>
        <v>17</v>
      </c>
      <c r="W231" t="str">
        <f t="shared" si="67"/>
        <v>EXCELLENT SERVICE</v>
      </c>
      <c r="X231" t="str">
        <f t="shared" si="68"/>
        <v>excellent service</v>
      </c>
      <c r="Y231" t="str">
        <f t="shared" si="69"/>
        <v>Excellent Service</v>
      </c>
      <c r="AA231" t="e">
        <f t="shared" si="70"/>
        <v>#VALUE!</v>
      </c>
      <c r="AB231" t="e">
        <f t="shared" si="71"/>
        <v>#VALUE!</v>
      </c>
    </row>
    <row r="232" spans="1:28">
      <c r="A232" t="s">
        <v>921</v>
      </c>
      <c r="B232" t="s">
        <v>922</v>
      </c>
      <c r="C232" t="s">
        <v>41</v>
      </c>
      <c r="D232" t="str">
        <f t="shared" si="54"/>
        <v>Neha Chopra(E1231)-Finance</v>
      </c>
      <c r="E232" t="str">
        <f t="shared" si="55"/>
        <v>Finance</v>
      </c>
      <c r="F232" t="s">
        <v>79</v>
      </c>
      <c r="G232" t="s">
        <v>923</v>
      </c>
      <c r="H232" t="str">
        <f t="shared" si="56"/>
        <v>Sunday</v>
      </c>
      <c r="I232" t="str">
        <f t="shared" si="57"/>
        <v>Sun</v>
      </c>
      <c r="J232" t="str">
        <f t="shared" si="58"/>
        <v>day</v>
      </c>
      <c r="K232" t="str">
        <f t="shared" si="59"/>
        <v>Jul</v>
      </c>
      <c r="L232">
        <f t="shared" si="60"/>
        <v>2021</v>
      </c>
      <c r="M232" t="s">
        <v>924</v>
      </c>
      <c r="N232">
        <f t="shared" si="61"/>
        <v>8</v>
      </c>
      <c r="O232">
        <f t="shared" si="62"/>
        <v>49</v>
      </c>
      <c r="P232">
        <f t="shared" si="63"/>
        <v>10</v>
      </c>
      <c r="Q232">
        <v>35689</v>
      </c>
      <c r="R232">
        <v>40339</v>
      </c>
      <c r="S232" t="str">
        <f t="shared" si="64"/>
        <v>low target</v>
      </c>
      <c r="T232" t="str">
        <f t="shared" si="65"/>
        <v>mid target</v>
      </c>
      <c r="U232" t="s">
        <v>168</v>
      </c>
      <c r="V232">
        <f t="shared" si="66"/>
        <v>17</v>
      </c>
      <c r="W232" t="str">
        <f t="shared" si="67"/>
        <v>DETAILED ANALYSIS</v>
      </c>
      <c r="X232" t="str">
        <f t="shared" si="68"/>
        <v>detailed analysis</v>
      </c>
      <c r="Y232" t="str">
        <f t="shared" si="69"/>
        <v>Detailed Analysis</v>
      </c>
      <c r="AA232" t="e">
        <f t="shared" si="70"/>
        <v>#VALUE!</v>
      </c>
      <c r="AB232" t="e">
        <f t="shared" si="71"/>
        <v>#VALUE!</v>
      </c>
    </row>
    <row r="233" spans="1:28">
      <c r="A233" t="s">
        <v>925</v>
      </c>
      <c r="B233" t="s">
        <v>78</v>
      </c>
      <c r="C233" t="s">
        <v>26</v>
      </c>
      <c r="D233" t="str">
        <f t="shared" si="54"/>
        <v>Yash Agarwal(E1232)-Marketing</v>
      </c>
      <c r="E233" t="str">
        <f t="shared" si="55"/>
        <v>Marketing</v>
      </c>
      <c r="F233" t="s">
        <v>27</v>
      </c>
      <c r="G233" t="s">
        <v>926</v>
      </c>
      <c r="H233" t="str">
        <f t="shared" si="56"/>
        <v>Friday</v>
      </c>
      <c r="I233" t="str">
        <f t="shared" si="57"/>
        <v>Fri</v>
      </c>
      <c r="J233" t="str">
        <f t="shared" si="58"/>
        <v>day</v>
      </c>
      <c r="K233" t="str">
        <f t="shared" si="59"/>
        <v>Aug</v>
      </c>
      <c r="L233">
        <f t="shared" si="60"/>
        <v>2022</v>
      </c>
      <c r="M233" t="s">
        <v>927</v>
      </c>
      <c r="N233">
        <f t="shared" si="61"/>
        <v>41</v>
      </c>
      <c r="O233">
        <f t="shared" si="62"/>
        <v>18</v>
      </c>
      <c r="P233">
        <f t="shared" si="63"/>
        <v>9</v>
      </c>
      <c r="Q233">
        <v>34739</v>
      </c>
      <c r="R233">
        <v>43877</v>
      </c>
      <c r="S233" t="str">
        <f t="shared" si="64"/>
        <v>low target</v>
      </c>
      <c r="T233" t="str">
        <f t="shared" si="65"/>
        <v>mid target</v>
      </c>
      <c r="U233" t="s">
        <v>68</v>
      </c>
      <c r="V233">
        <f t="shared" si="66"/>
        <v>13</v>
      </c>
      <c r="W233" t="str">
        <f t="shared" si="67"/>
        <v>GOOD TEAMWORK</v>
      </c>
      <c r="X233" t="str">
        <f t="shared" si="68"/>
        <v>good teamwork</v>
      </c>
      <c r="Y233" t="str">
        <f t="shared" si="69"/>
        <v>Good Teamwork</v>
      </c>
      <c r="AA233" t="e">
        <f t="shared" si="70"/>
        <v>#VALUE!</v>
      </c>
      <c r="AB233" t="e">
        <f t="shared" si="71"/>
        <v>#VALUE!</v>
      </c>
    </row>
    <row r="234" spans="1:28">
      <c r="A234" t="s">
        <v>928</v>
      </c>
      <c r="B234" t="s">
        <v>929</v>
      </c>
      <c r="C234" t="s">
        <v>11</v>
      </c>
      <c r="D234" t="str">
        <f t="shared" si="54"/>
        <v>Manish Nair(E1233)-Sales</v>
      </c>
      <c r="E234" t="str">
        <f t="shared" si="55"/>
        <v>Sales</v>
      </c>
      <c r="F234" t="s">
        <v>65</v>
      </c>
      <c r="G234" t="s">
        <v>930</v>
      </c>
      <c r="H234" t="str">
        <f t="shared" si="56"/>
        <v>Saturday</v>
      </c>
      <c r="I234" t="str">
        <f t="shared" si="57"/>
        <v>Sat</v>
      </c>
      <c r="J234" t="str">
        <f t="shared" si="58"/>
        <v>day</v>
      </c>
      <c r="K234" t="str">
        <f t="shared" si="59"/>
        <v>May</v>
      </c>
      <c r="L234">
        <f t="shared" si="60"/>
        <v>2023</v>
      </c>
      <c r="M234" t="s">
        <v>931</v>
      </c>
      <c r="N234">
        <f t="shared" si="61"/>
        <v>58</v>
      </c>
      <c r="O234">
        <f t="shared" si="62"/>
        <v>59</v>
      </c>
      <c r="P234">
        <f t="shared" si="63"/>
        <v>8</v>
      </c>
      <c r="Q234">
        <v>53398</v>
      </c>
      <c r="R234">
        <v>42381</v>
      </c>
      <c r="S234" t="str">
        <f t="shared" si="64"/>
        <v>low target</v>
      </c>
      <c r="T234" t="str">
        <f t="shared" si="65"/>
        <v>mid target</v>
      </c>
      <c r="U234" t="s">
        <v>30</v>
      </c>
      <c r="V234">
        <f t="shared" si="66"/>
        <v>16</v>
      </c>
      <c r="W234" t="str">
        <f t="shared" si="67"/>
        <v>CUSTOMER FOCUSED</v>
      </c>
      <c r="X234" t="str">
        <f t="shared" si="68"/>
        <v>customer focused</v>
      </c>
      <c r="Y234" t="str">
        <f t="shared" si="69"/>
        <v>Customer Focused</v>
      </c>
      <c r="AA234" t="e">
        <f t="shared" si="70"/>
        <v>#VALUE!</v>
      </c>
      <c r="AB234" t="e">
        <f t="shared" si="71"/>
        <v>#VALUE!</v>
      </c>
    </row>
    <row r="235" spans="1:28">
      <c r="A235" t="s">
        <v>932</v>
      </c>
      <c r="B235" t="s">
        <v>933</v>
      </c>
      <c r="C235" t="s">
        <v>41</v>
      </c>
      <c r="D235" t="str">
        <f t="shared" si="54"/>
        <v>Kavita Joshi(E1234)-Finance</v>
      </c>
      <c r="E235" t="str">
        <f t="shared" si="55"/>
        <v>Finance</v>
      </c>
      <c r="F235" t="s">
        <v>72</v>
      </c>
      <c r="G235" t="s">
        <v>934</v>
      </c>
      <c r="H235" t="str">
        <f t="shared" si="56"/>
        <v>Tuesday</v>
      </c>
      <c r="I235" t="str">
        <f t="shared" si="57"/>
        <v>Tue</v>
      </c>
      <c r="J235" t="str">
        <f t="shared" si="58"/>
        <v>day</v>
      </c>
      <c r="K235" t="str">
        <f t="shared" si="59"/>
        <v>Jan</v>
      </c>
      <c r="L235">
        <f t="shared" si="60"/>
        <v>2021</v>
      </c>
      <c r="M235" t="s">
        <v>935</v>
      </c>
      <c r="N235">
        <f t="shared" si="61"/>
        <v>38</v>
      </c>
      <c r="O235">
        <f t="shared" si="62"/>
        <v>36</v>
      </c>
      <c r="P235">
        <f t="shared" si="63"/>
        <v>9</v>
      </c>
      <c r="Q235">
        <v>53989</v>
      </c>
      <c r="R235">
        <v>47032</v>
      </c>
      <c r="S235" t="str">
        <f t="shared" si="64"/>
        <v>low target</v>
      </c>
      <c r="T235" t="str">
        <f t="shared" si="65"/>
        <v>mid target</v>
      </c>
      <c r="U235" t="s">
        <v>142</v>
      </c>
      <c r="V235">
        <f t="shared" si="66"/>
        <v>17</v>
      </c>
      <c r="W235" t="str">
        <f t="shared" si="67"/>
        <v>NEEDS IMPROVEMENT</v>
      </c>
      <c r="X235" t="str">
        <f t="shared" si="68"/>
        <v>needs improvement</v>
      </c>
      <c r="Y235" t="str">
        <f t="shared" si="69"/>
        <v>Needs Improvement</v>
      </c>
      <c r="AA235" t="e">
        <f t="shared" si="70"/>
        <v>#VALUE!</v>
      </c>
      <c r="AB235" t="e">
        <f t="shared" si="71"/>
        <v>#VALUE!</v>
      </c>
    </row>
    <row r="236" spans="1:28">
      <c r="A236" t="s">
        <v>936</v>
      </c>
      <c r="B236" t="s">
        <v>182</v>
      </c>
      <c r="C236" t="s">
        <v>26</v>
      </c>
      <c r="D236" t="str">
        <f t="shared" si="54"/>
        <v>Deepak Goyal(E1235)-Marketing</v>
      </c>
      <c r="E236" t="str">
        <f t="shared" si="55"/>
        <v>Marketing</v>
      </c>
      <c r="F236" t="s">
        <v>65</v>
      </c>
      <c r="G236" t="s">
        <v>869</v>
      </c>
      <c r="H236" t="str">
        <f t="shared" si="56"/>
        <v>Monday</v>
      </c>
      <c r="I236" t="str">
        <f t="shared" si="57"/>
        <v>Mon</v>
      </c>
      <c r="J236" t="str">
        <f t="shared" si="58"/>
        <v>day</v>
      </c>
      <c r="K236" t="str">
        <f t="shared" si="59"/>
        <v>Oct</v>
      </c>
      <c r="L236">
        <f t="shared" si="60"/>
        <v>2023</v>
      </c>
      <c r="M236" t="s">
        <v>937</v>
      </c>
      <c r="N236">
        <f t="shared" si="61"/>
        <v>12</v>
      </c>
      <c r="O236">
        <f t="shared" si="62"/>
        <v>17</v>
      </c>
      <c r="P236">
        <f t="shared" si="63"/>
        <v>9</v>
      </c>
      <c r="Q236">
        <v>85388</v>
      </c>
      <c r="R236">
        <v>93006</v>
      </c>
      <c r="S236" t="str">
        <f t="shared" si="64"/>
        <v>high target</v>
      </c>
      <c r="T236" t="str">
        <f t="shared" si="65"/>
        <v>high target</v>
      </c>
      <c r="U236" t="s">
        <v>121</v>
      </c>
      <c r="V236">
        <f t="shared" si="66"/>
        <v>14</v>
      </c>
      <c r="W236" t="str">
        <f t="shared" si="67"/>
        <v>CREATIVE IDEAS</v>
      </c>
      <c r="X236" t="str">
        <f t="shared" si="68"/>
        <v>creative ideas</v>
      </c>
      <c r="Y236" t="str">
        <f t="shared" si="69"/>
        <v>Creative Ideas</v>
      </c>
      <c r="AA236" t="e">
        <f t="shared" si="70"/>
        <v>#VALUE!</v>
      </c>
      <c r="AB236" t="e">
        <f t="shared" si="71"/>
        <v>#VALUE!</v>
      </c>
    </row>
    <row r="237" spans="1:28">
      <c r="A237" t="s">
        <v>938</v>
      </c>
      <c r="B237" t="s">
        <v>939</v>
      </c>
      <c r="C237" t="s">
        <v>41</v>
      </c>
      <c r="D237" t="str">
        <f t="shared" si="54"/>
        <v>Sneha Malhotra(E1236)-Finance</v>
      </c>
      <c r="E237" t="str">
        <f t="shared" si="55"/>
        <v>Finance</v>
      </c>
      <c r="F237" t="s">
        <v>65</v>
      </c>
      <c r="G237" t="s">
        <v>940</v>
      </c>
      <c r="H237" t="str">
        <f t="shared" si="56"/>
        <v>Friday</v>
      </c>
      <c r="I237" t="str">
        <f t="shared" si="57"/>
        <v>Fri</v>
      </c>
      <c r="J237" t="str">
        <f t="shared" si="58"/>
        <v>day</v>
      </c>
      <c r="K237" t="str">
        <f t="shared" si="59"/>
        <v>Jan</v>
      </c>
      <c r="L237">
        <f t="shared" si="60"/>
        <v>2021</v>
      </c>
      <c r="M237" t="s">
        <v>941</v>
      </c>
      <c r="N237">
        <f t="shared" si="61"/>
        <v>50</v>
      </c>
      <c r="O237">
        <f t="shared" si="62"/>
        <v>21</v>
      </c>
      <c r="P237">
        <f t="shared" si="63"/>
        <v>10</v>
      </c>
      <c r="Q237">
        <v>56993</v>
      </c>
      <c r="R237">
        <v>59334</v>
      </c>
      <c r="S237" t="str">
        <f t="shared" si="64"/>
        <v>high target</v>
      </c>
      <c r="T237" t="str">
        <f t="shared" si="65"/>
        <v>mid target</v>
      </c>
      <c r="U237" t="s">
        <v>112</v>
      </c>
      <c r="V237">
        <f t="shared" si="66"/>
        <v>14</v>
      </c>
      <c r="W237" t="str">
        <f t="shared" si="67"/>
        <v>QUICK RESPONSE</v>
      </c>
      <c r="X237" t="str">
        <f t="shared" si="68"/>
        <v>quick response</v>
      </c>
      <c r="Y237" t="str">
        <f t="shared" si="69"/>
        <v>Quick Response</v>
      </c>
      <c r="AA237" t="e">
        <f t="shared" si="70"/>
        <v>#VALUE!</v>
      </c>
      <c r="AB237" t="e">
        <f t="shared" si="71"/>
        <v>#VALUE!</v>
      </c>
    </row>
    <row r="238" spans="1:28">
      <c r="A238" t="s">
        <v>942</v>
      </c>
      <c r="B238" t="s">
        <v>943</v>
      </c>
      <c r="C238" t="s">
        <v>26</v>
      </c>
      <c r="D238" t="str">
        <f t="shared" si="54"/>
        <v>Shreya Bansal(E1237)-Marketing</v>
      </c>
      <c r="E238" t="str">
        <f t="shared" si="55"/>
        <v>Marketing</v>
      </c>
      <c r="F238" t="s">
        <v>34</v>
      </c>
      <c r="G238" t="s">
        <v>944</v>
      </c>
      <c r="H238" t="str">
        <f t="shared" si="56"/>
        <v>Sunday</v>
      </c>
      <c r="I238" t="str">
        <f t="shared" si="57"/>
        <v>Sun</v>
      </c>
      <c r="J238" t="str">
        <f t="shared" si="58"/>
        <v>day</v>
      </c>
      <c r="K238" t="str">
        <f t="shared" si="59"/>
        <v>Jun</v>
      </c>
      <c r="L238">
        <f t="shared" si="60"/>
        <v>2021</v>
      </c>
      <c r="M238" t="s">
        <v>945</v>
      </c>
      <c r="N238">
        <f t="shared" si="61"/>
        <v>6</v>
      </c>
      <c r="O238">
        <f t="shared" si="62"/>
        <v>42</v>
      </c>
      <c r="P238">
        <f t="shared" si="63"/>
        <v>9</v>
      </c>
      <c r="Q238">
        <v>46324</v>
      </c>
      <c r="R238">
        <v>52109</v>
      </c>
      <c r="S238" t="str">
        <f t="shared" si="64"/>
        <v>high target</v>
      </c>
      <c r="T238" t="str">
        <f t="shared" si="65"/>
        <v>mid target</v>
      </c>
      <c r="U238" t="s">
        <v>56</v>
      </c>
      <c r="V238">
        <f t="shared" si="66"/>
        <v>16</v>
      </c>
      <c r="W238" t="str">
        <f t="shared" si="67"/>
        <v>HELPFUL ATTITUDE</v>
      </c>
      <c r="X238" t="str">
        <f t="shared" si="68"/>
        <v>helpful attitude</v>
      </c>
      <c r="Y238" t="str">
        <f t="shared" si="69"/>
        <v>Helpful Attitude</v>
      </c>
      <c r="AA238" t="e">
        <f t="shared" si="70"/>
        <v>#VALUE!</v>
      </c>
      <c r="AB238" t="e">
        <f t="shared" si="71"/>
        <v>#VALUE!</v>
      </c>
    </row>
    <row r="239" spans="1:28">
      <c r="A239" t="s">
        <v>946</v>
      </c>
      <c r="B239" t="s">
        <v>947</v>
      </c>
      <c r="C239" t="s">
        <v>11</v>
      </c>
      <c r="D239" t="str">
        <f t="shared" si="54"/>
        <v>Rohan Nair(E1238)-Sales</v>
      </c>
      <c r="E239" t="str">
        <f t="shared" si="55"/>
        <v>Sales</v>
      </c>
      <c r="F239" t="s">
        <v>12</v>
      </c>
      <c r="G239" t="s">
        <v>948</v>
      </c>
      <c r="H239" t="str">
        <f t="shared" si="56"/>
        <v>Saturday</v>
      </c>
      <c r="I239" t="str">
        <f t="shared" si="57"/>
        <v>Sat</v>
      </c>
      <c r="J239" t="str">
        <f t="shared" si="58"/>
        <v>day</v>
      </c>
      <c r="K239" t="str">
        <f t="shared" si="59"/>
        <v>Feb</v>
      </c>
      <c r="L239">
        <f t="shared" si="60"/>
        <v>2023</v>
      </c>
      <c r="M239" t="s">
        <v>949</v>
      </c>
      <c r="N239">
        <f t="shared" si="61"/>
        <v>48</v>
      </c>
      <c r="O239">
        <f t="shared" si="62"/>
        <v>28</v>
      </c>
      <c r="P239">
        <f t="shared" si="63"/>
        <v>8</v>
      </c>
      <c r="Q239">
        <v>64099</v>
      </c>
      <c r="R239">
        <v>57497</v>
      </c>
      <c r="S239" t="str">
        <f t="shared" si="64"/>
        <v>high target</v>
      </c>
      <c r="T239" t="str">
        <f t="shared" si="65"/>
        <v>mid target</v>
      </c>
      <c r="U239" t="s">
        <v>142</v>
      </c>
      <c r="V239">
        <f t="shared" si="66"/>
        <v>17</v>
      </c>
      <c r="W239" t="str">
        <f t="shared" si="67"/>
        <v>NEEDS IMPROVEMENT</v>
      </c>
      <c r="X239" t="str">
        <f t="shared" si="68"/>
        <v>needs improvement</v>
      </c>
      <c r="Y239" t="str">
        <f t="shared" si="69"/>
        <v>Needs Improvement</v>
      </c>
      <c r="AA239" t="e">
        <f t="shared" si="70"/>
        <v>#VALUE!</v>
      </c>
      <c r="AB239" t="e">
        <f t="shared" si="71"/>
        <v>#VALUE!</v>
      </c>
    </row>
    <row r="240" spans="1:28">
      <c r="A240" t="s">
        <v>950</v>
      </c>
      <c r="B240" t="s">
        <v>951</v>
      </c>
      <c r="C240" t="s">
        <v>11</v>
      </c>
      <c r="D240" t="str">
        <f t="shared" si="54"/>
        <v>Manish Mishra(E1239)-Sales</v>
      </c>
      <c r="E240" t="str">
        <f t="shared" si="55"/>
        <v>Sales</v>
      </c>
      <c r="F240" t="s">
        <v>12</v>
      </c>
      <c r="G240" t="s">
        <v>952</v>
      </c>
      <c r="H240" t="str">
        <f t="shared" si="56"/>
        <v>Saturday</v>
      </c>
      <c r="I240" t="str">
        <f t="shared" si="57"/>
        <v>Sat</v>
      </c>
      <c r="J240" t="str">
        <f t="shared" si="58"/>
        <v>day</v>
      </c>
      <c r="K240" t="str">
        <f t="shared" si="59"/>
        <v>Aug</v>
      </c>
      <c r="L240">
        <f t="shared" si="60"/>
        <v>2024</v>
      </c>
      <c r="M240" t="s">
        <v>953</v>
      </c>
      <c r="N240">
        <f t="shared" si="61"/>
        <v>15</v>
      </c>
      <c r="O240">
        <f t="shared" si="62"/>
        <v>44</v>
      </c>
      <c r="P240">
        <f t="shared" si="63"/>
        <v>9</v>
      </c>
      <c r="Q240">
        <v>36818</v>
      </c>
      <c r="R240">
        <v>44071</v>
      </c>
      <c r="S240" t="str">
        <f t="shared" si="64"/>
        <v>low target</v>
      </c>
      <c r="T240" t="str">
        <f t="shared" si="65"/>
        <v>mid target</v>
      </c>
      <c r="U240" t="s">
        <v>56</v>
      </c>
      <c r="V240">
        <f t="shared" si="66"/>
        <v>16</v>
      </c>
      <c r="W240" t="str">
        <f t="shared" si="67"/>
        <v>HELPFUL ATTITUDE</v>
      </c>
      <c r="X240" t="str">
        <f t="shared" si="68"/>
        <v>helpful attitude</v>
      </c>
      <c r="Y240" t="str">
        <f t="shared" si="69"/>
        <v>Helpful Attitude</v>
      </c>
      <c r="AA240" t="e">
        <f t="shared" si="70"/>
        <v>#VALUE!</v>
      </c>
      <c r="AB240" t="e">
        <f t="shared" si="71"/>
        <v>#VALUE!</v>
      </c>
    </row>
    <row r="241" spans="1:28">
      <c r="A241" t="s">
        <v>954</v>
      </c>
      <c r="B241" t="s">
        <v>955</v>
      </c>
      <c r="C241" t="s">
        <v>26</v>
      </c>
      <c r="D241" t="str">
        <f t="shared" si="54"/>
        <v>Anjali Joshi(E1240)-Marketing</v>
      </c>
      <c r="E241" t="str">
        <f t="shared" si="55"/>
        <v>Marketing</v>
      </c>
      <c r="F241" t="s">
        <v>12</v>
      </c>
      <c r="G241" t="s">
        <v>956</v>
      </c>
      <c r="H241" t="str">
        <f t="shared" si="56"/>
        <v>Thursday</v>
      </c>
      <c r="I241" t="str">
        <f t="shared" si="57"/>
        <v>Thu</v>
      </c>
      <c r="J241" t="str">
        <f t="shared" si="58"/>
        <v>day</v>
      </c>
      <c r="K241" t="str">
        <f t="shared" si="59"/>
        <v>Nov</v>
      </c>
      <c r="L241">
        <f t="shared" si="60"/>
        <v>2024</v>
      </c>
      <c r="M241" t="s">
        <v>957</v>
      </c>
      <c r="N241">
        <f t="shared" si="61"/>
        <v>58</v>
      </c>
      <c r="O241">
        <f t="shared" si="62"/>
        <v>40</v>
      </c>
      <c r="P241">
        <f t="shared" si="63"/>
        <v>8</v>
      </c>
      <c r="Q241">
        <v>68422</v>
      </c>
      <c r="R241">
        <v>59335</v>
      </c>
      <c r="S241" t="str">
        <f t="shared" si="64"/>
        <v>high target</v>
      </c>
      <c r="T241" t="str">
        <f t="shared" si="65"/>
        <v>mid target</v>
      </c>
      <c r="U241" t="s">
        <v>15</v>
      </c>
      <c r="V241">
        <f t="shared" si="66"/>
        <v>20</v>
      </c>
      <c r="W241" t="str">
        <f t="shared" si="67"/>
        <v>EXCELLENT LEADERSHIP</v>
      </c>
      <c r="X241" t="str">
        <f t="shared" si="68"/>
        <v>excellent leadership</v>
      </c>
      <c r="Y241" t="str">
        <f t="shared" si="69"/>
        <v>Excellent Leadership</v>
      </c>
      <c r="AA241" t="e">
        <f t="shared" si="70"/>
        <v>#VALUE!</v>
      </c>
      <c r="AB241" t="e">
        <f t="shared" si="71"/>
        <v>#VALUE!</v>
      </c>
    </row>
    <row r="242" spans="1:28">
      <c r="A242" t="s">
        <v>958</v>
      </c>
      <c r="B242" t="s">
        <v>959</v>
      </c>
      <c r="C242" t="s">
        <v>53</v>
      </c>
      <c r="D242" t="str">
        <f t="shared" si="54"/>
        <v>Pooja Nair(E1241)-HR</v>
      </c>
      <c r="E242" t="str">
        <f t="shared" si="55"/>
        <v>HR</v>
      </c>
      <c r="F242" t="s">
        <v>79</v>
      </c>
      <c r="G242" t="s">
        <v>960</v>
      </c>
      <c r="H242" t="str">
        <f t="shared" si="56"/>
        <v>Wednesday</v>
      </c>
      <c r="I242" t="str">
        <f t="shared" si="57"/>
        <v>Wed</v>
      </c>
      <c r="J242" t="str">
        <f t="shared" si="58"/>
        <v>day</v>
      </c>
      <c r="K242" t="str">
        <f t="shared" si="59"/>
        <v>Nov</v>
      </c>
      <c r="L242">
        <f t="shared" si="60"/>
        <v>2021</v>
      </c>
      <c r="M242" t="s">
        <v>961</v>
      </c>
      <c r="N242">
        <f t="shared" si="61"/>
        <v>38</v>
      </c>
      <c r="O242">
        <f t="shared" si="62"/>
        <v>47</v>
      </c>
      <c r="P242">
        <f t="shared" si="63"/>
        <v>9</v>
      </c>
      <c r="Q242">
        <v>76737</v>
      </c>
      <c r="R242">
        <v>64485</v>
      </c>
      <c r="S242" t="str">
        <f t="shared" si="64"/>
        <v>high target</v>
      </c>
      <c r="T242" t="str">
        <f t="shared" si="65"/>
        <v>mid target</v>
      </c>
      <c r="U242" t="s">
        <v>22</v>
      </c>
      <c r="V242">
        <f t="shared" si="66"/>
        <v>13</v>
      </c>
      <c r="W242" t="str">
        <f t="shared" si="67"/>
        <v>FAST DELIVERY</v>
      </c>
      <c r="X242" t="str">
        <f t="shared" si="68"/>
        <v>fast delivery</v>
      </c>
      <c r="Y242" t="str">
        <f t="shared" si="69"/>
        <v>Fast Delivery</v>
      </c>
      <c r="AA242" t="e">
        <f t="shared" si="70"/>
        <v>#VALUE!</v>
      </c>
      <c r="AB242" t="e">
        <f t="shared" si="71"/>
        <v>#VALUE!</v>
      </c>
    </row>
    <row r="243" spans="1:28">
      <c r="A243" t="s">
        <v>962</v>
      </c>
      <c r="B243" t="s">
        <v>449</v>
      </c>
      <c r="C243" t="s">
        <v>53</v>
      </c>
      <c r="D243" t="str">
        <f t="shared" si="54"/>
        <v>Ritika Agarwal(E1242)-HR</v>
      </c>
      <c r="E243" t="str">
        <f t="shared" si="55"/>
        <v>HR</v>
      </c>
      <c r="F243" t="s">
        <v>27</v>
      </c>
      <c r="G243" t="s">
        <v>963</v>
      </c>
      <c r="H243" t="str">
        <f t="shared" si="56"/>
        <v>Friday</v>
      </c>
      <c r="I243" t="str">
        <f t="shared" si="57"/>
        <v>Fri</v>
      </c>
      <c r="J243" t="str">
        <f t="shared" si="58"/>
        <v>day</v>
      </c>
      <c r="K243" t="str">
        <f t="shared" si="59"/>
        <v>Oct</v>
      </c>
      <c r="L243">
        <f t="shared" si="60"/>
        <v>2024</v>
      </c>
      <c r="M243" t="s">
        <v>964</v>
      </c>
      <c r="N243">
        <f t="shared" si="61"/>
        <v>50</v>
      </c>
      <c r="O243">
        <f t="shared" si="62"/>
        <v>55</v>
      </c>
      <c r="P243">
        <f t="shared" si="63"/>
        <v>10</v>
      </c>
      <c r="Q243">
        <v>64804</v>
      </c>
      <c r="R243">
        <v>45365</v>
      </c>
      <c r="S243" t="str">
        <f t="shared" si="64"/>
        <v>low target</v>
      </c>
      <c r="T243" t="str">
        <f t="shared" si="65"/>
        <v>mid target</v>
      </c>
      <c r="U243" t="s">
        <v>56</v>
      </c>
      <c r="V243">
        <f t="shared" si="66"/>
        <v>16</v>
      </c>
      <c r="W243" t="str">
        <f t="shared" si="67"/>
        <v>HELPFUL ATTITUDE</v>
      </c>
      <c r="X243" t="str">
        <f t="shared" si="68"/>
        <v>helpful attitude</v>
      </c>
      <c r="Y243" t="str">
        <f t="shared" si="69"/>
        <v>Helpful Attitude</v>
      </c>
      <c r="AA243" t="e">
        <f t="shared" si="70"/>
        <v>#VALUE!</v>
      </c>
      <c r="AB243" t="e">
        <f t="shared" si="71"/>
        <v>#VALUE!</v>
      </c>
    </row>
    <row r="244" spans="1:28">
      <c r="A244" t="s">
        <v>965</v>
      </c>
      <c r="B244" t="s">
        <v>723</v>
      </c>
      <c r="C244" t="s">
        <v>11</v>
      </c>
      <c r="D244" t="str">
        <f t="shared" si="54"/>
        <v>Aakash Reddy(E1243)-Sales</v>
      </c>
      <c r="E244" t="str">
        <f t="shared" si="55"/>
        <v>Sales</v>
      </c>
      <c r="F244" t="s">
        <v>19</v>
      </c>
      <c r="G244" t="s">
        <v>966</v>
      </c>
      <c r="H244" t="str">
        <f t="shared" si="56"/>
        <v>Friday</v>
      </c>
      <c r="I244" t="str">
        <f t="shared" si="57"/>
        <v>Fri</v>
      </c>
      <c r="J244" t="str">
        <f t="shared" si="58"/>
        <v>day</v>
      </c>
      <c r="K244" t="str">
        <f t="shared" si="59"/>
        <v>May</v>
      </c>
      <c r="L244">
        <f t="shared" si="60"/>
        <v>2021</v>
      </c>
      <c r="M244" t="s">
        <v>967</v>
      </c>
      <c r="N244">
        <f t="shared" si="61"/>
        <v>32</v>
      </c>
      <c r="O244">
        <f t="shared" si="62"/>
        <v>57</v>
      </c>
      <c r="P244">
        <f t="shared" si="63"/>
        <v>10</v>
      </c>
      <c r="Q244">
        <v>48068</v>
      </c>
      <c r="R244">
        <v>53248</v>
      </c>
      <c r="S244" t="str">
        <f t="shared" si="64"/>
        <v>high target</v>
      </c>
      <c r="T244" t="str">
        <f t="shared" si="65"/>
        <v>mid target</v>
      </c>
      <c r="U244" t="s">
        <v>112</v>
      </c>
      <c r="V244">
        <f t="shared" si="66"/>
        <v>14</v>
      </c>
      <c r="W244" t="str">
        <f t="shared" si="67"/>
        <v>QUICK RESPONSE</v>
      </c>
      <c r="X244" t="str">
        <f t="shared" si="68"/>
        <v>quick response</v>
      </c>
      <c r="Y244" t="str">
        <f t="shared" si="69"/>
        <v>Quick Response</v>
      </c>
      <c r="AA244" t="e">
        <f t="shared" si="70"/>
        <v>#VALUE!</v>
      </c>
      <c r="AB244" t="e">
        <f t="shared" si="71"/>
        <v>#VALUE!</v>
      </c>
    </row>
    <row r="245" spans="1:28">
      <c r="A245" t="s">
        <v>968</v>
      </c>
      <c r="B245" t="s">
        <v>881</v>
      </c>
      <c r="C245" t="s">
        <v>26</v>
      </c>
      <c r="D245" t="str">
        <f t="shared" si="54"/>
        <v>Rohan Saxena(E1244)-Marketing</v>
      </c>
      <c r="E245" t="str">
        <f t="shared" si="55"/>
        <v>Marketing</v>
      </c>
      <c r="F245" t="s">
        <v>19</v>
      </c>
      <c r="G245" t="s">
        <v>963</v>
      </c>
      <c r="H245" t="str">
        <f t="shared" si="56"/>
        <v>Friday</v>
      </c>
      <c r="I245" t="str">
        <f t="shared" si="57"/>
        <v>Fri</v>
      </c>
      <c r="J245" t="str">
        <f t="shared" si="58"/>
        <v>day</v>
      </c>
      <c r="K245" t="str">
        <f t="shared" si="59"/>
        <v>Oct</v>
      </c>
      <c r="L245">
        <f t="shared" si="60"/>
        <v>2024</v>
      </c>
      <c r="M245" t="s">
        <v>969</v>
      </c>
      <c r="N245">
        <f t="shared" si="61"/>
        <v>37</v>
      </c>
      <c r="O245">
        <f t="shared" si="62"/>
        <v>45</v>
      </c>
      <c r="P245">
        <f t="shared" si="63"/>
        <v>8</v>
      </c>
      <c r="Q245">
        <v>62994</v>
      </c>
      <c r="R245">
        <v>72035</v>
      </c>
      <c r="S245" t="str">
        <f t="shared" si="64"/>
        <v>high target</v>
      </c>
      <c r="T245" t="str">
        <f t="shared" si="65"/>
        <v>high target</v>
      </c>
      <c r="U245" t="s">
        <v>487</v>
      </c>
      <c r="V245">
        <f t="shared" si="66"/>
        <v>13</v>
      </c>
      <c r="W245" t="str">
        <f t="shared" si="67"/>
        <v>GREAT SUPPORT</v>
      </c>
      <c r="X245" t="str">
        <f t="shared" si="68"/>
        <v>great support</v>
      </c>
      <c r="Y245" t="str">
        <f t="shared" si="69"/>
        <v>Great Support</v>
      </c>
      <c r="AA245" t="e">
        <f t="shared" si="70"/>
        <v>#VALUE!</v>
      </c>
      <c r="AB245" t="e">
        <f t="shared" si="71"/>
        <v>#VALUE!</v>
      </c>
    </row>
    <row r="246" spans="1:28">
      <c r="A246" t="s">
        <v>970</v>
      </c>
      <c r="B246" t="s">
        <v>971</v>
      </c>
      <c r="C246" t="s">
        <v>11</v>
      </c>
      <c r="D246" t="str">
        <f t="shared" si="54"/>
        <v>Aakash Malhotra(E1245)-Sales</v>
      </c>
      <c r="E246" t="str">
        <f t="shared" si="55"/>
        <v>Sales</v>
      </c>
      <c r="F246" t="s">
        <v>79</v>
      </c>
      <c r="G246" t="s">
        <v>972</v>
      </c>
      <c r="H246" t="str">
        <f t="shared" si="56"/>
        <v>Tuesday</v>
      </c>
      <c r="I246" t="str">
        <f t="shared" si="57"/>
        <v>Tue</v>
      </c>
      <c r="J246" t="str">
        <f t="shared" si="58"/>
        <v>day</v>
      </c>
      <c r="K246" t="str">
        <f t="shared" si="59"/>
        <v>Sep</v>
      </c>
      <c r="L246">
        <f t="shared" si="60"/>
        <v>2021</v>
      </c>
      <c r="M246" t="s">
        <v>973</v>
      </c>
      <c r="N246">
        <f t="shared" si="61"/>
        <v>29</v>
      </c>
      <c r="O246">
        <f t="shared" si="62"/>
        <v>26</v>
      </c>
      <c r="P246">
        <f t="shared" si="63"/>
        <v>10</v>
      </c>
      <c r="Q246">
        <v>65739</v>
      </c>
      <c r="R246">
        <v>76956</v>
      </c>
      <c r="S246" t="str">
        <f t="shared" si="64"/>
        <v>high target</v>
      </c>
      <c r="T246" t="str">
        <f t="shared" si="65"/>
        <v>high target</v>
      </c>
      <c r="U246" t="s">
        <v>44</v>
      </c>
      <c r="V246">
        <f t="shared" si="66"/>
        <v>19</v>
      </c>
      <c r="W246" t="str">
        <f t="shared" si="67"/>
        <v>STRONG PRESENTATION</v>
      </c>
      <c r="X246" t="str">
        <f t="shared" si="68"/>
        <v>strong presentation</v>
      </c>
      <c r="Y246" t="str">
        <f t="shared" si="69"/>
        <v>Strong Presentation</v>
      </c>
      <c r="AA246" t="e">
        <f t="shared" si="70"/>
        <v>#VALUE!</v>
      </c>
      <c r="AB246" t="e">
        <f t="shared" si="71"/>
        <v>#VALUE!</v>
      </c>
    </row>
    <row r="247" spans="1:28">
      <c r="A247" t="s">
        <v>974</v>
      </c>
      <c r="B247" t="s">
        <v>975</v>
      </c>
      <c r="C247" t="s">
        <v>11</v>
      </c>
      <c r="D247" t="str">
        <f t="shared" si="54"/>
        <v>Deepak Gupta(E1246)-Sales</v>
      </c>
      <c r="E247" t="str">
        <f t="shared" si="55"/>
        <v>Sales</v>
      </c>
      <c r="F247" t="s">
        <v>89</v>
      </c>
      <c r="G247" t="s">
        <v>976</v>
      </c>
      <c r="H247" t="str">
        <f t="shared" si="56"/>
        <v>Monday</v>
      </c>
      <c r="I247" t="str">
        <f t="shared" si="57"/>
        <v>Mon</v>
      </c>
      <c r="J247" t="str">
        <f t="shared" si="58"/>
        <v>day</v>
      </c>
      <c r="K247" t="str">
        <f t="shared" si="59"/>
        <v>Jun</v>
      </c>
      <c r="L247">
        <f t="shared" si="60"/>
        <v>2022</v>
      </c>
      <c r="M247" t="s">
        <v>977</v>
      </c>
      <c r="N247">
        <f t="shared" si="61"/>
        <v>13</v>
      </c>
      <c r="O247">
        <f t="shared" si="62"/>
        <v>47</v>
      </c>
      <c r="P247">
        <f t="shared" si="63"/>
        <v>8</v>
      </c>
      <c r="Q247">
        <v>67686</v>
      </c>
      <c r="R247">
        <v>77900</v>
      </c>
      <c r="S247" t="str">
        <f t="shared" si="64"/>
        <v>high target</v>
      </c>
      <c r="T247" t="str">
        <f t="shared" si="65"/>
        <v>high target</v>
      </c>
      <c r="U247" t="s">
        <v>159</v>
      </c>
      <c r="V247">
        <f t="shared" si="66"/>
        <v>17</v>
      </c>
      <c r="W247" t="str">
        <f t="shared" si="67"/>
        <v>EXCELLENT SERVICE</v>
      </c>
      <c r="X247" t="str">
        <f t="shared" si="68"/>
        <v>excellent service</v>
      </c>
      <c r="Y247" t="str">
        <f t="shared" si="69"/>
        <v>Excellent Service</v>
      </c>
      <c r="AA247" t="e">
        <f t="shared" si="70"/>
        <v>#VALUE!</v>
      </c>
      <c r="AB247" t="e">
        <f t="shared" si="71"/>
        <v>#VALUE!</v>
      </c>
    </row>
    <row r="248" spans="1:28">
      <c r="A248" t="s">
        <v>978</v>
      </c>
      <c r="B248" t="s">
        <v>979</v>
      </c>
      <c r="C248" t="s">
        <v>11</v>
      </c>
      <c r="D248" t="str">
        <f t="shared" si="54"/>
        <v>Nisha Reddy(E1247)-Sales</v>
      </c>
      <c r="E248" t="str">
        <f t="shared" si="55"/>
        <v>Sales</v>
      </c>
      <c r="F248" t="s">
        <v>72</v>
      </c>
      <c r="G248" t="s">
        <v>980</v>
      </c>
      <c r="H248" t="str">
        <f t="shared" si="56"/>
        <v>Saturday</v>
      </c>
      <c r="I248" t="str">
        <f t="shared" si="57"/>
        <v>Sat</v>
      </c>
      <c r="J248" t="str">
        <f t="shared" si="58"/>
        <v>day</v>
      </c>
      <c r="K248" t="str">
        <f t="shared" si="59"/>
        <v>May</v>
      </c>
      <c r="L248">
        <f t="shared" si="60"/>
        <v>2021</v>
      </c>
      <c r="M248" t="s">
        <v>981</v>
      </c>
      <c r="N248">
        <f t="shared" si="61"/>
        <v>18</v>
      </c>
      <c r="O248">
        <f t="shared" si="62"/>
        <v>2</v>
      </c>
      <c r="P248">
        <f t="shared" si="63"/>
        <v>9</v>
      </c>
      <c r="Q248">
        <v>63590</v>
      </c>
      <c r="R248">
        <v>66795</v>
      </c>
      <c r="S248" t="str">
        <f t="shared" si="64"/>
        <v>high target</v>
      </c>
      <c r="T248" t="str">
        <f t="shared" si="65"/>
        <v>mid target</v>
      </c>
      <c r="U248" t="s">
        <v>30</v>
      </c>
      <c r="V248">
        <f t="shared" si="66"/>
        <v>16</v>
      </c>
      <c r="W248" t="str">
        <f t="shared" si="67"/>
        <v>CUSTOMER FOCUSED</v>
      </c>
      <c r="X248" t="str">
        <f t="shared" si="68"/>
        <v>customer focused</v>
      </c>
      <c r="Y248" t="str">
        <f t="shared" si="69"/>
        <v>Customer Focused</v>
      </c>
      <c r="AA248" t="e">
        <f t="shared" si="70"/>
        <v>#VALUE!</v>
      </c>
      <c r="AB248" t="e">
        <f t="shared" si="71"/>
        <v>#VALUE!</v>
      </c>
    </row>
    <row r="249" spans="1:28">
      <c r="A249" t="s">
        <v>982</v>
      </c>
      <c r="B249" t="s">
        <v>329</v>
      </c>
      <c r="C249" t="s">
        <v>41</v>
      </c>
      <c r="D249" t="str">
        <f t="shared" si="54"/>
        <v>Arjun Chopra(E1248)-Finance</v>
      </c>
      <c r="E249" t="str">
        <f t="shared" si="55"/>
        <v>Finance</v>
      </c>
      <c r="F249" t="s">
        <v>89</v>
      </c>
      <c r="G249" t="s">
        <v>983</v>
      </c>
      <c r="H249" t="str">
        <f t="shared" si="56"/>
        <v>Saturday</v>
      </c>
      <c r="I249" t="str">
        <f t="shared" si="57"/>
        <v>Sat</v>
      </c>
      <c r="J249" t="str">
        <f t="shared" si="58"/>
        <v>day</v>
      </c>
      <c r="K249" t="str">
        <f t="shared" si="59"/>
        <v>Jul</v>
      </c>
      <c r="L249">
        <f t="shared" si="60"/>
        <v>2023</v>
      </c>
      <c r="M249" t="s">
        <v>984</v>
      </c>
      <c r="N249">
        <f t="shared" si="61"/>
        <v>5</v>
      </c>
      <c r="O249">
        <f t="shared" si="62"/>
        <v>24</v>
      </c>
      <c r="P249">
        <f t="shared" si="63"/>
        <v>9</v>
      </c>
      <c r="Q249">
        <v>78458</v>
      </c>
      <c r="R249">
        <v>84743</v>
      </c>
      <c r="S249" t="str">
        <f t="shared" si="64"/>
        <v>high target</v>
      </c>
      <c r="T249" t="str">
        <f t="shared" si="65"/>
        <v>high target</v>
      </c>
      <c r="U249" t="s">
        <v>68</v>
      </c>
      <c r="V249">
        <f t="shared" si="66"/>
        <v>13</v>
      </c>
      <c r="W249" t="str">
        <f t="shared" si="67"/>
        <v>GOOD TEAMWORK</v>
      </c>
      <c r="X249" t="str">
        <f t="shared" si="68"/>
        <v>good teamwork</v>
      </c>
      <c r="Y249" t="str">
        <f t="shared" si="69"/>
        <v>Good Teamwork</v>
      </c>
      <c r="AA249" t="e">
        <f t="shared" si="70"/>
        <v>#VALUE!</v>
      </c>
      <c r="AB249" t="e">
        <f t="shared" si="71"/>
        <v>#VALUE!</v>
      </c>
    </row>
    <row r="250" spans="1:28">
      <c r="A250" t="s">
        <v>985</v>
      </c>
      <c r="B250" t="s">
        <v>986</v>
      </c>
      <c r="C250" t="s">
        <v>11</v>
      </c>
      <c r="D250" t="str">
        <f t="shared" si="54"/>
        <v>Isha Reddy(E1249)-Sales</v>
      </c>
      <c r="E250" t="str">
        <f t="shared" si="55"/>
        <v>Sales</v>
      </c>
      <c r="F250" t="s">
        <v>65</v>
      </c>
      <c r="G250" t="s">
        <v>987</v>
      </c>
      <c r="H250" t="str">
        <f t="shared" si="56"/>
        <v>Saturday</v>
      </c>
      <c r="I250" t="str">
        <f t="shared" si="57"/>
        <v>Sat</v>
      </c>
      <c r="J250" t="str">
        <f t="shared" si="58"/>
        <v>day</v>
      </c>
      <c r="K250" t="str">
        <f t="shared" si="59"/>
        <v>Jan</v>
      </c>
      <c r="L250">
        <f t="shared" si="60"/>
        <v>2024</v>
      </c>
      <c r="M250" t="s">
        <v>988</v>
      </c>
      <c r="N250">
        <f t="shared" si="61"/>
        <v>8</v>
      </c>
      <c r="O250">
        <f t="shared" si="62"/>
        <v>33</v>
      </c>
      <c r="P250">
        <f t="shared" si="63"/>
        <v>9</v>
      </c>
      <c r="Q250">
        <v>87294</v>
      </c>
      <c r="R250">
        <v>87700</v>
      </c>
      <c r="S250" t="str">
        <f t="shared" si="64"/>
        <v>high target</v>
      </c>
      <c r="T250" t="str">
        <f t="shared" si="65"/>
        <v>high target</v>
      </c>
      <c r="U250" t="s">
        <v>213</v>
      </c>
      <c r="V250">
        <f t="shared" si="66"/>
        <v>17</v>
      </c>
      <c r="W250" t="str">
        <f t="shared" si="67"/>
        <v>POSITIVE ATTITUDE</v>
      </c>
      <c r="X250" t="str">
        <f t="shared" si="68"/>
        <v>positive attitude</v>
      </c>
      <c r="Y250" t="str">
        <f t="shared" si="69"/>
        <v>Positive Attitude</v>
      </c>
      <c r="AA250" t="e">
        <f t="shared" si="70"/>
        <v>#VALUE!</v>
      </c>
      <c r="AB250" t="e">
        <f t="shared" si="71"/>
        <v>#VALUE!</v>
      </c>
    </row>
    <row r="251" spans="1:28">
      <c r="A251" t="s">
        <v>989</v>
      </c>
      <c r="B251" t="s">
        <v>990</v>
      </c>
      <c r="C251" t="s">
        <v>41</v>
      </c>
      <c r="D251" t="str">
        <f t="shared" si="54"/>
        <v>Amit Sharma(E1250)-Finance</v>
      </c>
      <c r="E251" t="str">
        <f t="shared" si="55"/>
        <v>Finance</v>
      </c>
      <c r="F251" t="s">
        <v>79</v>
      </c>
      <c r="G251" t="s">
        <v>136</v>
      </c>
      <c r="H251" t="str">
        <f t="shared" si="56"/>
        <v>Friday</v>
      </c>
      <c r="I251" t="str">
        <f t="shared" si="57"/>
        <v>Fri</v>
      </c>
      <c r="J251" t="str">
        <f t="shared" si="58"/>
        <v>day</v>
      </c>
      <c r="K251" t="str">
        <f t="shared" si="59"/>
        <v>Oct</v>
      </c>
      <c r="L251">
        <f t="shared" si="60"/>
        <v>2024</v>
      </c>
      <c r="M251" t="s">
        <v>991</v>
      </c>
      <c r="N251">
        <f t="shared" si="61"/>
        <v>27</v>
      </c>
      <c r="O251">
        <f t="shared" si="62"/>
        <v>34</v>
      </c>
      <c r="P251">
        <f t="shared" si="63"/>
        <v>10</v>
      </c>
      <c r="Q251">
        <v>84716</v>
      </c>
      <c r="R251">
        <v>74860</v>
      </c>
      <c r="S251" t="str">
        <f t="shared" si="64"/>
        <v>high target</v>
      </c>
      <c r="T251" t="str">
        <f t="shared" si="65"/>
        <v>high target</v>
      </c>
      <c r="U251" t="s">
        <v>213</v>
      </c>
      <c r="V251">
        <f t="shared" si="66"/>
        <v>17</v>
      </c>
      <c r="W251" t="str">
        <f t="shared" si="67"/>
        <v>POSITIVE ATTITUDE</v>
      </c>
      <c r="X251" t="str">
        <f t="shared" si="68"/>
        <v>positive attitude</v>
      </c>
      <c r="Y251" t="str">
        <f t="shared" si="69"/>
        <v>Positive Attitude</v>
      </c>
      <c r="AA251" t="e">
        <f t="shared" si="70"/>
        <v>#VALUE!</v>
      </c>
      <c r="AB251" t="e">
        <f t="shared" si="71"/>
        <v>#VALUE!</v>
      </c>
    </row>
    <row r="252" spans="1:28">
      <c r="A252" t="s">
        <v>992</v>
      </c>
      <c r="B252" t="s">
        <v>959</v>
      </c>
      <c r="C252" t="s">
        <v>26</v>
      </c>
      <c r="D252" t="str">
        <f t="shared" si="54"/>
        <v>Pooja Nair(E1251)-Marketing</v>
      </c>
      <c r="E252" t="str">
        <f t="shared" si="55"/>
        <v>Marketing</v>
      </c>
      <c r="F252" t="s">
        <v>34</v>
      </c>
      <c r="G252" t="s">
        <v>993</v>
      </c>
      <c r="H252" t="str">
        <f t="shared" si="56"/>
        <v>Sunday</v>
      </c>
      <c r="I252" t="str">
        <f t="shared" si="57"/>
        <v>Sun</v>
      </c>
      <c r="J252" t="str">
        <f t="shared" si="58"/>
        <v>day</v>
      </c>
      <c r="K252" t="str">
        <f t="shared" si="59"/>
        <v>Nov</v>
      </c>
      <c r="L252">
        <f t="shared" si="60"/>
        <v>2021</v>
      </c>
      <c r="M252" t="s">
        <v>994</v>
      </c>
      <c r="N252">
        <f t="shared" si="61"/>
        <v>59</v>
      </c>
      <c r="O252">
        <f t="shared" si="62"/>
        <v>12</v>
      </c>
      <c r="P252">
        <f t="shared" si="63"/>
        <v>9</v>
      </c>
      <c r="Q252">
        <v>89752</v>
      </c>
      <c r="R252">
        <v>97357</v>
      </c>
      <c r="S252" t="str">
        <f t="shared" si="64"/>
        <v>high target</v>
      </c>
      <c r="T252" t="str">
        <f t="shared" si="65"/>
        <v>high target</v>
      </c>
      <c r="U252" t="s">
        <v>159</v>
      </c>
      <c r="V252">
        <f t="shared" si="66"/>
        <v>17</v>
      </c>
      <c r="W252" t="str">
        <f t="shared" si="67"/>
        <v>EXCELLENT SERVICE</v>
      </c>
      <c r="X252" t="str">
        <f t="shared" si="68"/>
        <v>excellent service</v>
      </c>
      <c r="Y252" t="str">
        <f t="shared" si="69"/>
        <v>Excellent Service</v>
      </c>
      <c r="AA252" t="e">
        <f t="shared" si="70"/>
        <v>#VALUE!</v>
      </c>
      <c r="AB252" t="e">
        <f t="shared" si="71"/>
        <v>#VALUE!</v>
      </c>
    </row>
    <row r="253" spans="1:28">
      <c r="A253" t="s">
        <v>995</v>
      </c>
      <c r="B253" t="s">
        <v>996</v>
      </c>
      <c r="C253" t="s">
        <v>11</v>
      </c>
      <c r="D253" t="str">
        <f t="shared" si="54"/>
        <v>Tanya Chopra(E1252)-Sales</v>
      </c>
      <c r="E253" t="str">
        <f t="shared" si="55"/>
        <v>Sales</v>
      </c>
      <c r="F253" t="s">
        <v>27</v>
      </c>
      <c r="G253" t="s">
        <v>997</v>
      </c>
      <c r="H253" t="str">
        <f t="shared" si="56"/>
        <v>Sunday</v>
      </c>
      <c r="I253" t="str">
        <f t="shared" si="57"/>
        <v>Sun</v>
      </c>
      <c r="J253" t="str">
        <f t="shared" si="58"/>
        <v>day</v>
      </c>
      <c r="K253" t="str">
        <f t="shared" si="59"/>
        <v>Feb</v>
      </c>
      <c r="L253">
        <f t="shared" si="60"/>
        <v>2022</v>
      </c>
      <c r="M253" t="s">
        <v>998</v>
      </c>
      <c r="N253">
        <f t="shared" si="61"/>
        <v>38</v>
      </c>
      <c r="O253">
        <f t="shared" si="62"/>
        <v>6</v>
      </c>
      <c r="P253">
        <f t="shared" si="63"/>
        <v>8</v>
      </c>
      <c r="Q253">
        <v>56457</v>
      </c>
      <c r="R253">
        <v>42200</v>
      </c>
      <c r="S253" t="str">
        <f t="shared" si="64"/>
        <v>low target</v>
      </c>
      <c r="T253" t="str">
        <f t="shared" si="65"/>
        <v>mid target</v>
      </c>
      <c r="U253" t="s">
        <v>15</v>
      </c>
      <c r="V253">
        <f t="shared" si="66"/>
        <v>20</v>
      </c>
      <c r="W253" t="str">
        <f t="shared" si="67"/>
        <v>EXCELLENT LEADERSHIP</v>
      </c>
      <c r="X253" t="str">
        <f t="shared" si="68"/>
        <v>excellent leadership</v>
      </c>
      <c r="Y253" t="str">
        <f t="shared" si="69"/>
        <v>Excellent Leadership</v>
      </c>
      <c r="AA253" t="e">
        <f t="shared" si="70"/>
        <v>#VALUE!</v>
      </c>
      <c r="AB253" t="e">
        <f t="shared" si="71"/>
        <v>#VALUE!</v>
      </c>
    </row>
    <row r="254" spans="1:28">
      <c r="A254" t="s">
        <v>999</v>
      </c>
      <c r="B254" t="s">
        <v>1000</v>
      </c>
      <c r="C254" t="s">
        <v>53</v>
      </c>
      <c r="D254" t="str">
        <f t="shared" si="54"/>
        <v>Nidhi Patel(E1253)-HR</v>
      </c>
      <c r="E254" t="str">
        <f t="shared" si="55"/>
        <v>HR</v>
      </c>
      <c r="F254" t="s">
        <v>72</v>
      </c>
      <c r="G254" t="s">
        <v>1001</v>
      </c>
      <c r="H254" t="str">
        <f t="shared" si="56"/>
        <v>Tuesday</v>
      </c>
      <c r="I254" t="str">
        <f t="shared" si="57"/>
        <v>Tue</v>
      </c>
      <c r="J254" t="str">
        <f t="shared" si="58"/>
        <v>day</v>
      </c>
      <c r="K254" t="str">
        <f t="shared" si="59"/>
        <v>Apr</v>
      </c>
      <c r="L254">
        <f t="shared" si="60"/>
        <v>2023</v>
      </c>
      <c r="M254" t="s">
        <v>1002</v>
      </c>
      <c r="N254">
        <f t="shared" si="61"/>
        <v>34</v>
      </c>
      <c r="O254">
        <f t="shared" si="62"/>
        <v>14</v>
      </c>
      <c r="P254">
        <f t="shared" si="63"/>
        <v>9</v>
      </c>
      <c r="Q254">
        <v>42937</v>
      </c>
      <c r="R254">
        <v>54238</v>
      </c>
      <c r="S254" t="str">
        <f t="shared" si="64"/>
        <v>high target</v>
      </c>
      <c r="T254" t="str">
        <f t="shared" si="65"/>
        <v>mid target</v>
      </c>
      <c r="U254" t="s">
        <v>112</v>
      </c>
      <c r="V254">
        <f t="shared" si="66"/>
        <v>14</v>
      </c>
      <c r="W254" t="str">
        <f t="shared" si="67"/>
        <v>QUICK RESPONSE</v>
      </c>
      <c r="X254" t="str">
        <f t="shared" si="68"/>
        <v>quick response</v>
      </c>
      <c r="Y254" t="str">
        <f t="shared" si="69"/>
        <v>Quick Response</v>
      </c>
      <c r="AA254" t="e">
        <f t="shared" si="70"/>
        <v>#VALUE!</v>
      </c>
      <c r="AB254" t="e">
        <f t="shared" si="71"/>
        <v>#VALUE!</v>
      </c>
    </row>
    <row r="255" spans="1:28">
      <c r="A255" t="s">
        <v>1003</v>
      </c>
      <c r="B255" t="s">
        <v>823</v>
      </c>
      <c r="C255" t="s">
        <v>53</v>
      </c>
      <c r="D255" t="str">
        <f t="shared" si="54"/>
        <v>Aakash Gupta(E1254)-HR</v>
      </c>
      <c r="E255" t="str">
        <f t="shared" si="55"/>
        <v>HR</v>
      </c>
      <c r="F255" t="s">
        <v>34</v>
      </c>
      <c r="G255" t="s">
        <v>1004</v>
      </c>
      <c r="H255" t="str">
        <f t="shared" si="56"/>
        <v>Thursday</v>
      </c>
      <c r="I255" t="str">
        <f t="shared" si="57"/>
        <v>Thu</v>
      </c>
      <c r="J255" t="str">
        <f t="shared" si="58"/>
        <v>day</v>
      </c>
      <c r="K255" t="str">
        <f t="shared" si="59"/>
        <v>Mar</v>
      </c>
      <c r="L255">
        <f t="shared" si="60"/>
        <v>2024</v>
      </c>
      <c r="M255" t="s">
        <v>1005</v>
      </c>
      <c r="N255">
        <f t="shared" si="61"/>
        <v>43</v>
      </c>
      <c r="O255">
        <f t="shared" si="62"/>
        <v>49</v>
      </c>
      <c r="P255">
        <f t="shared" si="63"/>
        <v>10</v>
      </c>
      <c r="Q255">
        <v>99648</v>
      </c>
      <c r="R255">
        <v>93633</v>
      </c>
      <c r="S255" t="str">
        <f t="shared" si="64"/>
        <v>high target</v>
      </c>
      <c r="T255" t="str">
        <f t="shared" si="65"/>
        <v>high target</v>
      </c>
      <c r="U255" t="s">
        <v>75</v>
      </c>
      <c r="V255">
        <f t="shared" si="66"/>
        <v>16</v>
      </c>
      <c r="W255" t="str">
        <f t="shared" si="67"/>
        <v>ACCURATE REPORTS</v>
      </c>
      <c r="X255" t="str">
        <f t="shared" si="68"/>
        <v>accurate reports</v>
      </c>
      <c r="Y255" t="str">
        <f t="shared" si="69"/>
        <v>Accurate Reports</v>
      </c>
      <c r="AA255" t="e">
        <f t="shared" si="70"/>
        <v>#VALUE!</v>
      </c>
      <c r="AB255" t="e">
        <f t="shared" si="71"/>
        <v>#VALUE!</v>
      </c>
    </row>
    <row r="256" spans="1:28">
      <c r="A256" t="s">
        <v>1006</v>
      </c>
      <c r="B256" t="s">
        <v>1007</v>
      </c>
      <c r="C256" t="s">
        <v>53</v>
      </c>
      <c r="D256" t="str">
        <f t="shared" si="54"/>
        <v>Anjali Kumar(E1255)-HR</v>
      </c>
      <c r="E256" t="str">
        <f t="shared" si="55"/>
        <v>HR</v>
      </c>
      <c r="F256" t="s">
        <v>89</v>
      </c>
      <c r="G256" t="s">
        <v>1008</v>
      </c>
      <c r="H256" t="str">
        <f t="shared" si="56"/>
        <v>Thursday</v>
      </c>
      <c r="I256" t="str">
        <f t="shared" si="57"/>
        <v>Thu</v>
      </c>
      <c r="J256" t="str">
        <f t="shared" si="58"/>
        <v>day</v>
      </c>
      <c r="K256" t="str">
        <f t="shared" si="59"/>
        <v>Sep</v>
      </c>
      <c r="L256">
        <f t="shared" si="60"/>
        <v>2022</v>
      </c>
      <c r="M256" t="s">
        <v>1009</v>
      </c>
      <c r="N256">
        <f t="shared" si="61"/>
        <v>35</v>
      </c>
      <c r="O256">
        <f t="shared" si="62"/>
        <v>3</v>
      </c>
      <c r="P256">
        <f t="shared" si="63"/>
        <v>9</v>
      </c>
      <c r="Q256">
        <v>75252</v>
      </c>
      <c r="R256">
        <v>78775</v>
      </c>
      <c r="S256" t="str">
        <f t="shared" si="64"/>
        <v>high target</v>
      </c>
      <c r="T256" t="str">
        <f t="shared" si="65"/>
        <v>high target</v>
      </c>
      <c r="U256" t="s">
        <v>68</v>
      </c>
      <c r="V256">
        <f t="shared" si="66"/>
        <v>13</v>
      </c>
      <c r="W256" t="str">
        <f t="shared" si="67"/>
        <v>GOOD TEAMWORK</v>
      </c>
      <c r="X256" t="str">
        <f t="shared" si="68"/>
        <v>good teamwork</v>
      </c>
      <c r="Y256" t="str">
        <f t="shared" si="69"/>
        <v>Good Teamwork</v>
      </c>
      <c r="AA256" t="e">
        <f t="shared" si="70"/>
        <v>#VALUE!</v>
      </c>
      <c r="AB256" t="e">
        <f t="shared" si="71"/>
        <v>#VALUE!</v>
      </c>
    </row>
    <row r="257" spans="1:28">
      <c r="A257" t="s">
        <v>1010</v>
      </c>
      <c r="B257" t="s">
        <v>1011</v>
      </c>
      <c r="C257" t="s">
        <v>26</v>
      </c>
      <c r="D257" t="str">
        <f t="shared" si="54"/>
        <v>Nidhi Chopra(E1256)-Marketing</v>
      </c>
      <c r="E257" t="str">
        <f t="shared" si="55"/>
        <v>Marketing</v>
      </c>
      <c r="F257" t="s">
        <v>72</v>
      </c>
      <c r="G257" t="s">
        <v>1012</v>
      </c>
      <c r="H257" t="str">
        <f t="shared" si="56"/>
        <v>Wednesday</v>
      </c>
      <c r="I257" t="str">
        <f t="shared" si="57"/>
        <v>Wed</v>
      </c>
      <c r="J257" t="str">
        <f t="shared" si="58"/>
        <v>day</v>
      </c>
      <c r="K257" t="str">
        <f t="shared" si="59"/>
        <v>Dec</v>
      </c>
      <c r="L257">
        <f t="shared" si="60"/>
        <v>2022</v>
      </c>
      <c r="M257" t="s">
        <v>1013</v>
      </c>
      <c r="N257">
        <f t="shared" si="61"/>
        <v>24</v>
      </c>
      <c r="O257">
        <f t="shared" si="62"/>
        <v>42</v>
      </c>
      <c r="P257">
        <f t="shared" si="63"/>
        <v>10</v>
      </c>
      <c r="Q257">
        <v>110869</v>
      </c>
      <c r="R257">
        <v>91498</v>
      </c>
      <c r="S257" t="str">
        <f t="shared" si="64"/>
        <v>high target</v>
      </c>
      <c r="T257" t="str">
        <f t="shared" si="65"/>
        <v>high target</v>
      </c>
      <c r="U257" t="s">
        <v>121</v>
      </c>
      <c r="V257">
        <f t="shared" si="66"/>
        <v>14</v>
      </c>
      <c r="W257" t="str">
        <f t="shared" si="67"/>
        <v>CREATIVE IDEAS</v>
      </c>
      <c r="X257" t="str">
        <f t="shared" si="68"/>
        <v>creative ideas</v>
      </c>
      <c r="Y257" t="str">
        <f t="shared" si="69"/>
        <v>Creative Ideas</v>
      </c>
      <c r="AA257" t="e">
        <f t="shared" si="70"/>
        <v>#VALUE!</v>
      </c>
      <c r="AB257" t="e">
        <f t="shared" si="71"/>
        <v>#VALUE!</v>
      </c>
    </row>
    <row r="258" spans="1:28">
      <c r="A258" t="s">
        <v>1014</v>
      </c>
      <c r="B258" t="s">
        <v>1015</v>
      </c>
      <c r="C258" t="s">
        <v>26</v>
      </c>
      <c r="D258" t="str">
        <f t="shared" si="54"/>
        <v>Siddharth Chopra(E1257)-Marketing</v>
      </c>
      <c r="E258" t="str">
        <f t="shared" si="55"/>
        <v>Marketing</v>
      </c>
      <c r="F258" t="s">
        <v>65</v>
      </c>
      <c r="G258" t="s">
        <v>1016</v>
      </c>
      <c r="H258" t="str">
        <f t="shared" si="56"/>
        <v>Wednesday</v>
      </c>
      <c r="I258" t="str">
        <f t="shared" si="57"/>
        <v>Wed</v>
      </c>
      <c r="J258" t="str">
        <f t="shared" si="58"/>
        <v>day</v>
      </c>
      <c r="K258" t="str">
        <f t="shared" si="59"/>
        <v>Sep</v>
      </c>
      <c r="L258">
        <f t="shared" si="60"/>
        <v>2022</v>
      </c>
      <c r="M258" t="s">
        <v>1017</v>
      </c>
      <c r="N258">
        <f t="shared" si="61"/>
        <v>48</v>
      </c>
      <c r="O258">
        <f t="shared" si="62"/>
        <v>11</v>
      </c>
      <c r="P258">
        <f t="shared" si="63"/>
        <v>9</v>
      </c>
      <c r="Q258">
        <v>91285</v>
      </c>
      <c r="R258">
        <v>75253</v>
      </c>
      <c r="S258" t="str">
        <f t="shared" si="64"/>
        <v>high target</v>
      </c>
      <c r="T258" t="str">
        <f t="shared" si="65"/>
        <v>high target</v>
      </c>
      <c r="U258" t="s">
        <v>75</v>
      </c>
      <c r="V258">
        <f t="shared" si="66"/>
        <v>16</v>
      </c>
      <c r="W258" t="str">
        <f t="shared" si="67"/>
        <v>ACCURATE REPORTS</v>
      </c>
      <c r="X258" t="str">
        <f t="shared" si="68"/>
        <v>accurate reports</v>
      </c>
      <c r="Y258" t="str">
        <f t="shared" si="69"/>
        <v>Accurate Reports</v>
      </c>
      <c r="AA258" t="e">
        <f t="shared" si="70"/>
        <v>#VALUE!</v>
      </c>
      <c r="AB258" t="e">
        <f t="shared" si="71"/>
        <v>#VALUE!</v>
      </c>
    </row>
    <row r="259" spans="1:28">
      <c r="A259" t="s">
        <v>1018</v>
      </c>
      <c r="B259" t="s">
        <v>1019</v>
      </c>
      <c r="C259" t="s">
        <v>41</v>
      </c>
      <c r="D259" t="str">
        <f t="shared" ref="D259:D301" si="72">_xlfn.CONCAT(B259,"(",A259,")","-",C259)</f>
        <v>Isha Nair(E1258)-Finance</v>
      </c>
      <c r="E259" t="str">
        <f t="shared" ref="E259:E301" si="73">RIGHT(D259,LEN(D259)-FIND("-",D259))</f>
        <v>Finance</v>
      </c>
      <c r="F259" t="s">
        <v>65</v>
      </c>
      <c r="G259" t="s">
        <v>1020</v>
      </c>
      <c r="H259" t="str">
        <f t="shared" ref="H259:H301" si="74">TEXT(G259,"dddd")</f>
        <v>Monday</v>
      </c>
      <c r="I259" t="str">
        <f t="shared" ref="I259:I301" si="75">LEFT(H259,3)</f>
        <v>Mon</v>
      </c>
      <c r="J259" t="str">
        <f t="shared" ref="J259:J301" si="76">RIGHT(H259,3)</f>
        <v>day</v>
      </c>
      <c r="K259" t="str">
        <f t="shared" ref="K259:K301" si="77">TEXT(G259,"mmm")</f>
        <v>Aug</v>
      </c>
      <c r="L259">
        <f t="shared" ref="L259:L301" si="78">YEAR(G259)</f>
        <v>2023</v>
      </c>
      <c r="M259" t="s">
        <v>1021</v>
      </c>
      <c r="N259">
        <f t="shared" ref="N259:N301" si="79">SECOND(M259)</f>
        <v>26</v>
      </c>
      <c r="O259">
        <f t="shared" ref="O259:O301" si="80">MINUTE(M259)</f>
        <v>35</v>
      </c>
      <c r="P259">
        <f t="shared" ref="P259:P301" si="81">HOUR(M259)</f>
        <v>8</v>
      </c>
      <c r="Q259">
        <v>87029</v>
      </c>
      <c r="R259">
        <v>67296</v>
      </c>
      <c r="S259" t="str">
        <f t="shared" ref="S259:S301" si="82">IF(R259&gt;50000,"high target","low target")</f>
        <v>high target</v>
      </c>
      <c r="T259" t="str">
        <f t="shared" ref="T259:T301" si="83">_xlfn.IFS(R259&lt;40000,"low target",R259&lt;70000,"mid target",R259&gt;70000,"high target")</f>
        <v>mid target</v>
      </c>
      <c r="U259" t="s">
        <v>112</v>
      </c>
      <c r="V259">
        <f t="shared" ref="V259:V301" si="84">LEN(U259)</f>
        <v>14</v>
      </c>
      <c r="W259" t="str">
        <f t="shared" ref="W259:W301" si="85">UPPER(U259)</f>
        <v>QUICK RESPONSE</v>
      </c>
      <c r="X259" t="str">
        <f t="shared" ref="X259:X301" si="86">LOWER(U259)</f>
        <v>quick response</v>
      </c>
      <c r="Y259" t="str">
        <f t="shared" ref="Y259:Y301" si="87">PROPER(U259)</f>
        <v>Quick Response</v>
      </c>
      <c r="AA259" t="e">
        <f t="shared" ref="AA259:AA301" si="88">LEFT(Z259,FIND("-",Z259,1)-1)</f>
        <v>#VALUE!</v>
      </c>
      <c r="AB259" t="e">
        <f t="shared" ref="AB259:AB301" si="89">RIGHT(Z259,LEN(Z259)-FIND("-",Z259))</f>
        <v>#VALUE!</v>
      </c>
    </row>
    <row r="260" spans="1:28">
      <c r="A260" t="s">
        <v>1022</v>
      </c>
      <c r="B260" t="s">
        <v>259</v>
      </c>
      <c r="C260" t="s">
        <v>41</v>
      </c>
      <c r="D260" t="str">
        <f t="shared" si="72"/>
        <v>Suresh Nair(E1259)-Finance</v>
      </c>
      <c r="E260" t="str">
        <f t="shared" si="73"/>
        <v>Finance</v>
      </c>
      <c r="F260" t="s">
        <v>27</v>
      </c>
      <c r="G260" t="s">
        <v>1023</v>
      </c>
      <c r="H260" t="str">
        <f t="shared" si="74"/>
        <v>Tuesday</v>
      </c>
      <c r="I260" t="str">
        <f t="shared" si="75"/>
        <v>Tue</v>
      </c>
      <c r="J260" t="str">
        <f t="shared" si="76"/>
        <v>day</v>
      </c>
      <c r="K260" t="str">
        <f t="shared" si="77"/>
        <v>Nov</v>
      </c>
      <c r="L260">
        <f t="shared" si="78"/>
        <v>2022</v>
      </c>
      <c r="M260" t="s">
        <v>1024</v>
      </c>
      <c r="N260">
        <f t="shared" si="79"/>
        <v>59</v>
      </c>
      <c r="O260">
        <f t="shared" si="80"/>
        <v>5</v>
      </c>
      <c r="P260">
        <f t="shared" si="81"/>
        <v>10</v>
      </c>
      <c r="Q260">
        <v>78795</v>
      </c>
      <c r="R260">
        <v>69477</v>
      </c>
      <c r="S260" t="str">
        <f t="shared" si="82"/>
        <v>high target</v>
      </c>
      <c r="T260" t="str">
        <f t="shared" si="83"/>
        <v>mid target</v>
      </c>
      <c r="U260" t="s">
        <v>37</v>
      </c>
      <c r="V260">
        <f t="shared" si="84"/>
        <v>18</v>
      </c>
      <c r="W260" t="str">
        <f t="shared" si="85"/>
        <v>GOOD COMMUNICATION</v>
      </c>
      <c r="X260" t="str">
        <f t="shared" si="86"/>
        <v>good communication</v>
      </c>
      <c r="Y260" t="str">
        <f t="shared" si="87"/>
        <v>Good Communication</v>
      </c>
      <c r="AA260" t="e">
        <f t="shared" si="88"/>
        <v>#VALUE!</v>
      </c>
      <c r="AB260" t="e">
        <f t="shared" si="89"/>
        <v>#VALUE!</v>
      </c>
    </row>
    <row r="261" spans="1:28">
      <c r="A261" t="s">
        <v>1025</v>
      </c>
      <c r="B261" t="s">
        <v>178</v>
      </c>
      <c r="C261" t="s">
        <v>11</v>
      </c>
      <c r="D261" t="str">
        <f t="shared" si="72"/>
        <v>Ritika Mehta(E1260)-Sales</v>
      </c>
      <c r="E261" t="str">
        <f t="shared" si="73"/>
        <v>Sales</v>
      </c>
      <c r="F261" t="s">
        <v>12</v>
      </c>
      <c r="G261" t="s">
        <v>1026</v>
      </c>
      <c r="H261" t="str">
        <f t="shared" si="74"/>
        <v>Sunday</v>
      </c>
      <c r="I261" t="str">
        <f t="shared" si="75"/>
        <v>Sun</v>
      </c>
      <c r="J261" t="str">
        <f t="shared" si="76"/>
        <v>day</v>
      </c>
      <c r="K261" t="str">
        <f t="shared" si="77"/>
        <v>Feb</v>
      </c>
      <c r="L261">
        <f t="shared" si="78"/>
        <v>2023</v>
      </c>
      <c r="M261" t="s">
        <v>1027</v>
      </c>
      <c r="N261">
        <f t="shared" si="79"/>
        <v>38</v>
      </c>
      <c r="O261">
        <f t="shared" si="80"/>
        <v>38</v>
      </c>
      <c r="P261">
        <f t="shared" si="81"/>
        <v>10</v>
      </c>
      <c r="Q261">
        <v>32360</v>
      </c>
      <c r="R261">
        <v>42591</v>
      </c>
      <c r="S261" t="str">
        <f t="shared" si="82"/>
        <v>low target</v>
      </c>
      <c r="T261" t="str">
        <f t="shared" si="83"/>
        <v>mid target</v>
      </c>
      <c r="U261" t="s">
        <v>75</v>
      </c>
      <c r="V261">
        <f t="shared" si="84"/>
        <v>16</v>
      </c>
      <c r="W261" t="str">
        <f t="shared" si="85"/>
        <v>ACCURATE REPORTS</v>
      </c>
      <c r="X261" t="str">
        <f t="shared" si="86"/>
        <v>accurate reports</v>
      </c>
      <c r="Y261" t="str">
        <f t="shared" si="87"/>
        <v>Accurate Reports</v>
      </c>
      <c r="AA261" t="e">
        <f t="shared" si="88"/>
        <v>#VALUE!</v>
      </c>
      <c r="AB261" t="e">
        <f t="shared" si="89"/>
        <v>#VALUE!</v>
      </c>
    </row>
    <row r="262" spans="1:28">
      <c r="A262" t="s">
        <v>1028</v>
      </c>
      <c r="B262" t="s">
        <v>391</v>
      </c>
      <c r="C262" t="s">
        <v>53</v>
      </c>
      <c r="D262" t="str">
        <f t="shared" si="72"/>
        <v>Tanya Mishra(E1261)-HR</v>
      </c>
      <c r="E262" t="str">
        <f t="shared" si="73"/>
        <v>HR</v>
      </c>
      <c r="F262" t="s">
        <v>79</v>
      </c>
      <c r="G262" t="s">
        <v>1029</v>
      </c>
      <c r="H262" t="str">
        <f t="shared" si="74"/>
        <v>Friday</v>
      </c>
      <c r="I262" t="str">
        <f t="shared" si="75"/>
        <v>Fri</v>
      </c>
      <c r="J262" t="str">
        <f t="shared" si="76"/>
        <v>day</v>
      </c>
      <c r="K262" t="str">
        <f t="shared" si="77"/>
        <v>Mar</v>
      </c>
      <c r="L262">
        <f t="shared" si="78"/>
        <v>2022</v>
      </c>
      <c r="M262" t="s">
        <v>1030</v>
      </c>
      <c r="N262">
        <f t="shared" si="79"/>
        <v>58</v>
      </c>
      <c r="O262">
        <f t="shared" si="80"/>
        <v>19</v>
      </c>
      <c r="P262">
        <f t="shared" si="81"/>
        <v>9</v>
      </c>
      <c r="Q262">
        <v>39885</v>
      </c>
      <c r="R262">
        <v>41004</v>
      </c>
      <c r="S262" t="str">
        <f t="shared" si="82"/>
        <v>low target</v>
      </c>
      <c r="T262" t="str">
        <f t="shared" si="83"/>
        <v>mid target</v>
      </c>
      <c r="U262" t="s">
        <v>487</v>
      </c>
      <c r="V262">
        <f t="shared" si="84"/>
        <v>13</v>
      </c>
      <c r="W262" t="str">
        <f t="shared" si="85"/>
        <v>GREAT SUPPORT</v>
      </c>
      <c r="X262" t="str">
        <f t="shared" si="86"/>
        <v>great support</v>
      </c>
      <c r="Y262" t="str">
        <f t="shared" si="87"/>
        <v>Great Support</v>
      </c>
      <c r="AA262" t="e">
        <f t="shared" si="88"/>
        <v>#VALUE!</v>
      </c>
      <c r="AB262" t="e">
        <f t="shared" si="89"/>
        <v>#VALUE!</v>
      </c>
    </row>
    <row r="263" spans="1:28">
      <c r="A263" t="s">
        <v>1031</v>
      </c>
      <c r="B263" t="s">
        <v>1032</v>
      </c>
      <c r="C263" t="s">
        <v>26</v>
      </c>
      <c r="D263" t="str">
        <f t="shared" si="72"/>
        <v>Karan Singh(E1262)-Marketing</v>
      </c>
      <c r="E263" t="str">
        <f t="shared" si="73"/>
        <v>Marketing</v>
      </c>
      <c r="F263" t="s">
        <v>27</v>
      </c>
      <c r="G263" t="s">
        <v>1033</v>
      </c>
      <c r="H263" t="str">
        <f t="shared" si="74"/>
        <v>Monday</v>
      </c>
      <c r="I263" t="str">
        <f t="shared" si="75"/>
        <v>Mon</v>
      </c>
      <c r="J263" t="str">
        <f t="shared" si="76"/>
        <v>day</v>
      </c>
      <c r="K263" t="str">
        <f t="shared" si="77"/>
        <v>Nov</v>
      </c>
      <c r="L263">
        <f t="shared" si="78"/>
        <v>2024</v>
      </c>
      <c r="M263" t="s">
        <v>1034</v>
      </c>
      <c r="N263">
        <f t="shared" si="79"/>
        <v>13</v>
      </c>
      <c r="O263">
        <f t="shared" si="80"/>
        <v>45</v>
      </c>
      <c r="P263">
        <f t="shared" si="81"/>
        <v>10</v>
      </c>
      <c r="Q263">
        <v>66677</v>
      </c>
      <c r="R263">
        <v>65993</v>
      </c>
      <c r="S263" t="str">
        <f t="shared" si="82"/>
        <v>high target</v>
      </c>
      <c r="T263" t="str">
        <f t="shared" si="83"/>
        <v>mid target</v>
      </c>
      <c r="U263" t="s">
        <v>44</v>
      </c>
      <c r="V263">
        <f t="shared" si="84"/>
        <v>19</v>
      </c>
      <c r="W263" t="str">
        <f t="shared" si="85"/>
        <v>STRONG PRESENTATION</v>
      </c>
      <c r="X263" t="str">
        <f t="shared" si="86"/>
        <v>strong presentation</v>
      </c>
      <c r="Y263" t="str">
        <f t="shared" si="87"/>
        <v>Strong Presentation</v>
      </c>
      <c r="AA263" t="e">
        <f t="shared" si="88"/>
        <v>#VALUE!</v>
      </c>
      <c r="AB263" t="e">
        <f t="shared" si="89"/>
        <v>#VALUE!</v>
      </c>
    </row>
    <row r="264" spans="1:28">
      <c r="A264" t="s">
        <v>1035</v>
      </c>
      <c r="B264" t="s">
        <v>1036</v>
      </c>
      <c r="C264" t="s">
        <v>26</v>
      </c>
      <c r="D264" t="str">
        <f t="shared" si="72"/>
        <v>Rohan Gupta(E1263)-Marketing</v>
      </c>
      <c r="E264" t="str">
        <f t="shared" si="73"/>
        <v>Marketing</v>
      </c>
      <c r="F264" t="s">
        <v>79</v>
      </c>
      <c r="G264" t="s">
        <v>1037</v>
      </c>
      <c r="H264" t="str">
        <f t="shared" si="74"/>
        <v>Friday</v>
      </c>
      <c r="I264" t="str">
        <f t="shared" si="75"/>
        <v>Fri</v>
      </c>
      <c r="J264" t="str">
        <f t="shared" si="76"/>
        <v>day</v>
      </c>
      <c r="K264" t="str">
        <f t="shared" si="77"/>
        <v>Dec</v>
      </c>
      <c r="L264">
        <f t="shared" si="78"/>
        <v>2023</v>
      </c>
      <c r="M264" t="s">
        <v>1038</v>
      </c>
      <c r="N264">
        <f t="shared" si="79"/>
        <v>19</v>
      </c>
      <c r="O264">
        <f t="shared" si="80"/>
        <v>22</v>
      </c>
      <c r="P264">
        <f t="shared" si="81"/>
        <v>10</v>
      </c>
      <c r="Q264">
        <v>65710</v>
      </c>
      <c r="R264">
        <v>57141</v>
      </c>
      <c r="S264" t="str">
        <f t="shared" si="82"/>
        <v>high target</v>
      </c>
      <c r="T264" t="str">
        <f t="shared" si="83"/>
        <v>mid target</v>
      </c>
      <c r="U264" t="s">
        <v>44</v>
      </c>
      <c r="V264">
        <f t="shared" si="84"/>
        <v>19</v>
      </c>
      <c r="W264" t="str">
        <f t="shared" si="85"/>
        <v>STRONG PRESENTATION</v>
      </c>
      <c r="X264" t="str">
        <f t="shared" si="86"/>
        <v>strong presentation</v>
      </c>
      <c r="Y264" t="str">
        <f t="shared" si="87"/>
        <v>Strong Presentation</v>
      </c>
      <c r="AA264" t="e">
        <f t="shared" si="88"/>
        <v>#VALUE!</v>
      </c>
      <c r="AB264" t="e">
        <f t="shared" si="89"/>
        <v>#VALUE!</v>
      </c>
    </row>
    <row r="265" spans="1:28">
      <c r="A265" t="s">
        <v>1039</v>
      </c>
      <c r="B265" t="s">
        <v>1040</v>
      </c>
      <c r="C265" t="s">
        <v>26</v>
      </c>
      <c r="D265" t="str">
        <f t="shared" si="72"/>
        <v>Aditya Agarwal(E1264)-Marketing</v>
      </c>
      <c r="E265" t="str">
        <f t="shared" si="73"/>
        <v>Marketing</v>
      </c>
      <c r="F265" t="s">
        <v>19</v>
      </c>
      <c r="G265" t="s">
        <v>1041</v>
      </c>
      <c r="H265" t="str">
        <f t="shared" si="74"/>
        <v>Sunday</v>
      </c>
      <c r="I265" t="str">
        <f t="shared" si="75"/>
        <v>Sun</v>
      </c>
      <c r="J265" t="str">
        <f t="shared" si="76"/>
        <v>day</v>
      </c>
      <c r="K265" t="str">
        <f t="shared" si="77"/>
        <v>Aug</v>
      </c>
      <c r="L265">
        <f t="shared" si="78"/>
        <v>2023</v>
      </c>
      <c r="M265" t="s">
        <v>1042</v>
      </c>
      <c r="N265">
        <f t="shared" si="79"/>
        <v>13</v>
      </c>
      <c r="O265">
        <f t="shared" si="80"/>
        <v>58</v>
      </c>
      <c r="P265">
        <f t="shared" si="81"/>
        <v>9</v>
      </c>
      <c r="Q265">
        <v>69801</v>
      </c>
      <c r="R265">
        <v>64294</v>
      </c>
      <c r="S265" t="str">
        <f t="shared" si="82"/>
        <v>high target</v>
      </c>
      <c r="T265" t="str">
        <f t="shared" si="83"/>
        <v>mid target</v>
      </c>
      <c r="U265" t="s">
        <v>168</v>
      </c>
      <c r="V265">
        <f t="shared" si="84"/>
        <v>17</v>
      </c>
      <c r="W265" t="str">
        <f t="shared" si="85"/>
        <v>DETAILED ANALYSIS</v>
      </c>
      <c r="X265" t="str">
        <f t="shared" si="86"/>
        <v>detailed analysis</v>
      </c>
      <c r="Y265" t="str">
        <f t="shared" si="87"/>
        <v>Detailed Analysis</v>
      </c>
      <c r="AA265" t="e">
        <f t="shared" si="88"/>
        <v>#VALUE!</v>
      </c>
      <c r="AB265" t="e">
        <f t="shared" si="89"/>
        <v>#VALUE!</v>
      </c>
    </row>
    <row r="266" spans="1:28">
      <c r="A266" t="s">
        <v>1043</v>
      </c>
      <c r="B266" t="s">
        <v>161</v>
      </c>
      <c r="C266" t="s">
        <v>53</v>
      </c>
      <c r="D266" t="str">
        <f t="shared" si="72"/>
        <v>Priya Mishra(E1265)-HR</v>
      </c>
      <c r="E266" t="str">
        <f t="shared" si="73"/>
        <v>HR</v>
      </c>
      <c r="F266" t="s">
        <v>65</v>
      </c>
      <c r="G266" t="s">
        <v>1044</v>
      </c>
      <c r="H266" t="str">
        <f t="shared" si="74"/>
        <v>Wednesday</v>
      </c>
      <c r="I266" t="str">
        <f t="shared" si="75"/>
        <v>Wed</v>
      </c>
      <c r="J266" t="str">
        <f t="shared" si="76"/>
        <v>day</v>
      </c>
      <c r="K266" t="str">
        <f t="shared" si="77"/>
        <v>Feb</v>
      </c>
      <c r="L266">
        <f t="shared" si="78"/>
        <v>2021</v>
      </c>
      <c r="M266" t="s">
        <v>908</v>
      </c>
      <c r="N266">
        <f t="shared" si="79"/>
        <v>59</v>
      </c>
      <c r="O266">
        <f t="shared" si="80"/>
        <v>35</v>
      </c>
      <c r="P266">
        <f t="shared" si="81"/>
        <v>9</v>
      </c>
      <c r="Q266">
        <v>90641</v>
      </c>
      <c r="R266">
        <v>78275</v>
      </c>
      <c r="S266" t="str">
        <f t="shared" si="82"/>
        <v>high target</v>
      </c>
      <c r="T266" t="str">
        <f t="shared" si="83"/>
        <v>high target</v>
      </c>
      <c r="U266" t="s">
        <v>142</v>
      </c>
      <c r="V266">
        <f t="shared" si="84"/>
        <v>17</v>
      </c>
      <c r="W266" t="str">
        <f t="shared" si="85"/>
        <v>NEEDS IMPROVEMENT</v>
      </c>
      <c r="X266" t="str">
        <f t="shared" si="86"/>
        <v>needs improvement</v>
      </c>
      <c r="Y266" t="str">
        <f t="shared" si="87"/>
        <v>Needs Improvement</v>
      </c>
      <c r="AA266" t="e">
        <f t="shared" si="88"/>
        <v>#VALUE!</v>
      </c>
      <c r="AB266" t="e">
        <f t="shared" si="89"/>
        <v>#VALUE!</v>
      </c>
    </row>
    <row r="267" spans="1:28">
      <c r="A267" t="s">
        <v>1045</v>
      </c>
      <c r="B267" t="s">
        <v>239</v>
      </c>
      <c r="C267" t="s">
        <v>41</v>
      </c>
      <c r="D267" t="str">
        <f t="shared" si="72"/>
        <v>Arjun Mehta(E1266)-Finance</v>
      </c>
      <c r="E267" t="str">
        <f t="shared" si="73"/>
        <v>Finance</v>
      </c>
      <c r="F267" t="s">
        <v>27</v>
      </c>
      <c r="G267" t="s">
        <v>1046</v>
      </c>
      <c r="H267" t="str">
        <f t="shared" si="74"/>
        <v>Friday</v>
      </c>
      <c r="I267" t="str">
        <f t="shared" si="75"/>
        <v>Fri</v>
      </c>
      <c r="J267" t="str">
        <f t="shared" si="76"/>
        <v>day</v>
      </c>
      <c r="K267" t="str">
        <f t="shared" si="77"/>
        <v>Feb</v>
      </c>
      <c r="L267">
        <f t="shared" si="78"/>
        <v>2023</v>
      </c>
      <c r="M267" t="s">
        <v>1047</v>
      </c>
      <c r="N267">
        <f t="shared" si="79"/>
        <v>15</v>
      </c>
      <c r="O267">
        <f t="shared" si="80"/>
        <v>53</v>
      </c>
      <c r="P267">
        <f t="shared" si="81"/>
        <v>10</v>
      </c>
      <c r="Q267">
        <v>79844</v>
      </c>
      <c r="R267">
        <v>72722</v>
      </c>
      <c r="S267" t="str">
        <f t="shared" si="82"/>
        <v>high target</v>
      </c>
      <c r="T267" t="str">
        <f t="shared" si="83"/>
        <v>high target</v>
      </c>
      <c r="U267" t="s">
        <v>142</v>
      </c>
      <c r="V267">
        <f t="shared" si="84"/>
        <v>17</v>
      </c>
      <c r="W267" t="str">
        <f t="shared" si="85"/>
        <v>NEEDS IMPROVEMENT</v>
      </c>
      <c r="X267" t="str">
        <f t="shared" si="86"/>
        <v>needs improvement</v>
      </c>
      <c r="Y267" t="str">
        <f t="shared" si="87"/>
        <v>Needs Improvement</v>
      </c>
      <c r="AA267" t="e">
        <f t="shared" si="88"/>
        <v>#VALUE!</v>
      </c>
      <c r="AB267" t="e">
        <f t="shared" si="89"/>
        <v>#VALUE!</v>
      </c>
    </row>
    <row r="268" spans="1:28">
      <c r="A268" t="s">
        <v>1048</v>
      </c>
      <c r="B268" t="s">
        <v>654</v>
      </c>
      <c r="C268" t="s">
        <v>26</v>
      </c>
      <c r="D268" t="str">
        <f t="shared" si="72"/>
        <v>Harsh Agarwal(E1267)-Marketing</v>
      </c>
      <c r="E268" t="str">
        <f t="shared" si="73"/>
        <v>Marketing</v>
      </c>
      <c r="F268" t="s">
        <v>79</v>
      </c>
      <c r="G268" t="s">
        <v>1049</v>
      </c>
      <c r="H268" t="str">
        <f t="shared" si="74"/>
        <v>Saturday</v>
      </c>
      <c r="I268" t="str">
        <f t="shared" si="75"/>
        <v>Sat</v>
      </c>
      <c r="J268" t="str">
        <f t="shared" si="76"/>
        <v>day</v>
      </c>
      <c r="K268" t="str">
        <f t="shared" si="77"/>
        <v>Dec</v>
      </c>
      <c r="L268">
        <f t="shared" si="78"/>
        <v>2021</v>
      </c>
      <c r="M268" t="s">
        <v>1050</v>
      </c>
      <c r="N268">
        <f t="shared" si="79"/>
        <v>22</v>
      </c>
      <c r="O268">
        <f t="shared" si="80"/>
        <v>50</v>
      </c>
      <c r="P268">
        <f t="shared" si="81"/>
        <v>10</v>
      </c>
      <c r="Q268">
        <v>45264</v>
      </c>
      <c r="R268">
        <v>51092</v>
      </c>
      <c r="S268" t="str">
        <f t="shared" si="82"/>
        <v>high target</v>
      </c>
      <c r="T268" t="str">
        <f t="shared" si="83"/>
        <v>mid target</v>
      </c>
      <c r="U268" t="s">
        <v>22</v>
      </c>
      <c r="V268">
        <f t="shared" si="84"/>
        <v>13</v>
      </c>
      <c r="W268" t="str">
        <f t="shared" si="85"/>
        <v>FAST DELIVERY</v>
      </c>
      <c r="X268" t="str">
        <f t="shared" si="86"/>
        <v>fast delivery</v>
      </c>
      <c r="Y268" t="str">
        <f t="shared" si="87"/>
        <v>Fast Delivery</v>
      </c>
      <c r="AA268" t="e">
        <f t="shared" si="88"/>
        <v>#VALUE!</v>
      </c>
      <c r="AB268" t="e">
        <f t="shared" si="89"/>
        <v>#VALUE!</v>
      </c>
    </row>
    <row r="269" spans="1:28">
      <c r="A269" t="s">
        <v>1051</v>
      </c>
      <c r="B269" t="s">
        <v>449</v>
      </c>
      <c r="C269" t="s">
        <v>53</v>
      </c>
      <c r="D269" t="str">
        <f t="shared" si="72"/>
        <v>Ritika Agarwal(E1268)-HR</v>
      </c>
      <c r="E269" t="str">
        <f t="shared" si="73"/>
        <v>HR</v>
      </c>
      <c r="F269" t="s">
        <v>72</v>
      </c>
      <c r="G269" t="s">
        <v>889</v>
      </c>
      <c r="H269" t="str">
        <f t="shared" si="74"/>
        <v>Sunday</v>
      </c>
      <c r="I269" t="str">
        <f t="shared" si="75"/>
        <v>Sun</v>
      </c>
      <c r="J269" t="str">
        <f t="shared" si="76"/>
        <v>day</v>
      </c>
      <c r="K269" t="str">
        <f t="shared" si="77"/>
        <v>Dec</v>
      </c>
      <c r="L269">
        <f t="shared" si="78"/>
        <v>2023</v>
      </c>
      <c r="M269" t="s">
        <v>1052</v>
      </c>
      <c r="N269">
        <f t="shared" si="79"/>
        <v>54</v>
      </c>
      <c r="O269">
        <f t="shared" si="80"/>
        <v>53</v>
      </c>
      <c r="P269">
        <f t="shared" si="81"/>
        <v>8</v>
      </c>
      <c r="Q269">
        <v>33050</v>
      </c>
      <c r="R269">
        <v>44871</v>
      </c>
      <c r="S269" t="str">
        <f t="shared" si="82"/>
        <v>low target</v>
      </c>
      <c r="T269" t="str">
        <f t="shared" si="83"/>
        <v>mid target</v>
      </c>
      <c r="U269" t="s">
        <v>30</v>
      </c>
      <c r="V269">
        <f t="shared" si="84"/>
        <v>16</v>
      </c>
      <c r="W269" t="str">
        <f t="shared" si="85"/>
        <v>CUSTOMER FOCUSED</v>
      </c>
      <c r="X269" t="str">
        <f t="shared" si="86"/>
        <v>customer focused</v>
      </c>
      <c r="Y269" t="str">
        <f t="shared" si="87"/>
        <v>Customer Focused</v>
      </c>
      <c r="AA269" t="e">
        <f t="shared" si="88"/>
        <v>#VALUE!</v>
      </c>
      <c r="AB269" t="e">
        <f t="shared" si="89"/>
        <v>#VALUE!</v>
      </c>
    </row>
    <row r="270" spans="1:28">
      <c r="A270" t="s">
        <v>1053</v>
      </c>
      <c r="B270" t="s">
        <v>1054</v>
      </c>
      <c r="C270" t="s">
        <v>53</v>
      </c>
      <c r="D270" t="str">
        <f t="shared" si="72"/>
        <v>Amit Chopra(E1269)-HR</v>
      </c>
      <c r="E270" t="str">
        <f t="shared" si="73"/>
        <v>HR</v>
      </c>
      <c r="F270" t="s">
        <v>27</v>
      </c>
      <c r="G270" t="s">
        <v>659</v>
      </c>
      <c r="H270" t="str">
        <f t="shared" si="74"/>
        <v>Thursday</v>
      </c>
      <c r="I270" t="str">
        <f t="shared" si="75"/>
        <v>Thu</v>
      </c>
      <c r="J270" t="str">
        <f t="shared" si="76"/>
        <v>day</v>
      </c>
      <c r="K270" t="str">
        <f t="shared" si="77"/>
        <v>May</v>
      </c>
      <c r="L270">
        <f t="shared" si="78"/>
        <v>2021</v>
      </c>
      <c r="M270" t="s">
        <v>1055</v>
      </c>
      <c r="N270">
        <f t="shared" si="79"/>
        <v>0</v>
      </c>
      <c r="O270">
        <f t="shared" si="80"/>
        <v>9</v>
      </c>
      <c r="P270">
        <f t="shared" si="81"/>
        <v>10</v>
      </c>
      <c r="Q270">
        <v>72477</v>
      </c>
      <c r="R270">
        <v>54334</v>
      </c>
      <c r="S270" t="str">
        <f t="shared" si="82"/>
        <v>high target</v>
      </c>
      <c r="T270" t="str">
        <f t="shared" si="83"/>
        <v>mid target</v>
      </c>
      <c r="U270" t="s">
        <v>56</v>
      </c>
      <c r="V270">
        <f t="shared" si="84"/>
        <v>16</v>
      </c>
      <c r="W270" t="str">
        <f t="shared" si="85"/>
        <v>HELPFUL ATTITUDE</v>
      </c>
      <c r="X270" t="str">
        <f t="shared" si="86"/>
        <v>helpful attitude</v>
      </c>
      <c r="Y270" t="str">
        <f t="shared" si="87"/>
        <v>Helpful Attitude</v>
      </c>
      <c r="AA270" t="e">
        <f t="shared" si="88"/>
        <v>#VALUE!</v>
      </c>
      <c r="AB270" t="e">
        <f t="shared" si="89"/>
        <v>#VALUE!</v>
      </c>
    </row>
    <row r="271" spans="1:28">
      <c r="A271" t="s">
        <v>1056</v>
      </c>
      <c r="B271" t="s">
        <v>1057</v>
      </c>
      <c r="C271" t="s">
        <v>26</v>
      </c>
      <c r="D271" t="str">
        <f t="shared" si="72"/>
        <v>Meera Patel(E1270)-Marketing</v>
      </c>
      <c r="E271" t="str">
        <f t="shared" si="73"/>
        <v>Marketing</v>
      </c>
      <c r="F271" t="s">
        <v>79</v>
      </c>
      <c r="G271" t="s">
        <v>1058</v>
      </c>
      <c r="H271" t="str">
        <f t="shared" si="74"/>
        <v>Tuesday</v>
      </c>
      <c r="I271" t="str">
        <f t="shared" si="75"/>
        <v>Tue</v>
      </c>
      <c r="J271" t="str">
        <f t="shared" si="76"/>
        <v>day</v>
      </c>
      <c r="K271" t="str">
        <f t="shared" si="77"/>
        <v>Feb</v>
      </c>
      <c r="L271">
        <f t="shared" si="78"/>
        <v>2021</v>
      </c>
      <c r="M271" t="s">
        <v>1059</v>
      </c>
      <c r="N271">
        <f t="shared" si="79"/>
        <v>35</v>
      </c>
      <c r="O271">
        <f t="shared" si="80"/>
        <v>34</v>
      </c>
      <c r="P271">
        <f t="shared" si="81"/>
        <v>8</v>
      </c>
      <c r="Q271">
        <v>52733</v>
      </c>
      <c r="R271">
        <v>66957</v>
      </c>
      <c r="S271" t="str">
        <f t="shared" si="82"/>
        <v>high target</v>
      </c>
      <c r="T271" t="str">
        <f t="shared" si="83"/>
        <v>mid target</v>
      </c>
      <c r="U271" t="s">
        <v>159</v>
      </c>
      <c r="V271">
        <f t="shared" si="84"/>
        <v>17</v>
      </c>
      <c r="W271" t="str">
        <f t="shared" si="85"/>
        <v>EXCELLENT SERVICE</v>
      </c>
      <c r="X271" t="str">
        <f t="shared" si="86"/>
        <v>excellent service</v>
      </c>
      <c r="Y271" t="str">
        <f t="shared" si="87"/>
        <v>Excellent Service</v>
      </c>
      <c r="AA271" t="e">
        <f t="shared" si="88"/>
        <v>#VALUE!</v>
      </c>
      <c r="AB271" t="e">
        <f t="shared" si="89"/>
        <v>#VALUE!</v>
      </c>
    </row>
    <row r="272" spans="1:28">
      <c r="A272" t="s">
        <v>1060</v>
      </c>
      <c r="B272" t="s">
        <v>513</v>
      </c>
      <c r="C272" t="s">
        <v>41</v>
      </c>
      <c r="D272" t="str">
        <f t="shared" si="72"/>
        <v>Aakash Shah(E1271)-Finance</v>
      </c>
      <c r="E272" t="str">
        <f t="shared" si="73"/>
        <v>Finance</v>
      </c>
      <c r="F272" t="s">
        <v>72</v>
      </c>
      <c r="G272" t="s">
        <v>1061</v>
      </c>
      <c r="H272" t="str">
        <f t="shared" si="74"/>
        <v>Thursday</v>
      </c>
      <c r="I272" t="str">
        <f t="shared" si="75"/>
        <v>Thu</v>
      </c>
      <c r="J272" t="str">
        <f t="shared" si="76"/>
        <v>day</v>
      </c>
      <c r="K272" t="str">
        <f t="shared" si="77"/>
        <v>Oct</v>
      </c>
      <c r="L272">
        <f t="shared" si="78"/>
        <v>2023</v>
      </c>
      <c r="M272" t="s">
        <v>1062</v>
      </c>
      <c r="N272">
        <f t="shared" si="79"/>
        <v>27</v>
      </c>
      <c r="O272">
        <f t="shared" si="80"/>
        <v>43</v>
      </c>
      <c r="P272">
        <f t="shared" si="81"/>
        <v>10</v>
      </c>
      <c r="Q272">
        <v>89581</v>
      </c>
      <c r="R272">
        <v>92833</v>
      </c>
      <c r="S272" t="str">
        <f t="shared" si="82"/>
        <v>high target</v>
      </c>
      <c r="T272" t="str">
        <f t="shared" si="83"/>
        <v>high target</v>
      </c>
      <c r="U272" t="s">
        <v>37</v>
      </c>
      <c r="V272">
        <f t="shared" si="84"/>
        <v>18</v>
      </c>
      <c r="W272" t="str">
        <f t="shared" si="85"/>
        <v>GOOD COMMUNICATION</v>
      </c>
      <c r="X272" t="str">
        <f t="shared" si="86"/>
        <v>good communication</v>
      </c>
      <c r="Y272" t="str">
        <f t="shared" si="87"/>
        <v>Good Communication</v>
      </c>
      <c r="AA272" t="e">
        <f t="shared" si="88"/>
        <v>#VALUE!</v>
      </c>
      <c r="AB272" t="e">
        <f t="shared" si="89"/>
        <v>#VALUE!</v>
      </c>
    </row>
    <row r="273" spans="1:28">
      <c r="A273" t="s">
        <v>1063</v>
      </c>
      <c r="B273" t="s">
        <v>1064</v>
      </c>
      <c r="C273" t="s">
        <v>53</v>
      </c>
      <c r="D273" t="str">
        <f t="shared" si="72"/>
        <v>Madhuri Singh(E1272)-HR</v>
      </c>
      <c r="E273" t="str">
        <f t="shared" si="73"/>
        <v>HR</v>
      </c>
      <c r="F273" t="s">
        <v>27</v>
      </c>
      <c r="G273" t="s">
        <v>1065</v>
      </c>
      <c r="H273" t="str">
        <f t="shared" si="74"/>
        <v>Saturday</v>
      </c>
      <c r="I273" t="str">
        <f t="shared" si="75"/>
        <v>Sat</v>
      </c>
      <c r="J273" t="str">
        <f t="shared" si="76"/>
        <v>day</v>
      </c>
      <c r="K273" t="str">
        <f t="shared" si="77"/>
        <v>Jan</v>
      </c>
      <c r="L273">
        <f t="shared" si="78"/>
        <v>2022</v>
      </c>
      <c r="M273" t="s">
        <v>1066</v>
      </c>
      <c r="N273">
        <f t="shared" si="79"/>
        <v>16</v>
      </c>
      <c r="O273">
        <f t="shared" si="80"/>
        <v>33</v>
      </c>
      <c r="P273">
        <f t="shared" si="81"/>
        <v>10</v>
      </c>
      <c r="Q273">
        <v>101653</v>
      </c>
      <c r="R273">
        <v>93425</v>
      </c>
      <c r="S273" t="str">
        <f t="shared" si="82"/>
        <v>high target</v>
      </c>
      <c r="T273" t="str">
        <f t="shared" si="83"/>
        <v>high target</v>
      </c>
      <c r="U273" t="s">
        <v>142</v>
      </c>
      <c r="V273">
        <f t="shared" si="84"/>
        <v>17</v>
      </c>
      <c r="W273" t="str">
        <f t="shared" si="85"/>
        <v>NEEDS IMPROVEMENT</v>
      </c>
      <c r="X273" t="str">
        <f t="shared" si="86"/>
        <v>needs improvement</v>
      </c>
      <c r="Y273" t="str">
        <f t="shared" si="87"/>
        <v>Needs Improvement</v>
      </c>
      <c r="AA273" t="e">
        <f t="shared" si="88"/>
        <v>#VALUE!</v>
      </c>
      <c r="AB273" t="e">
        <f t="shared" si="89"/>
        <v>#VALUE!</v>
      </c>
    </row>
    <row r="274" spans="1:28">
      <c r="A274" t="s">
        <v>1067</v>
      </c>
      <c r="B274" t="s">
        <v>1068</v>
      </c>
      <c r="C274" t="s">
        <v>11</v>
      </c>
      <c r="D274" t="str">
        <f t="shared" si="72"/>
        <v>Tanya Bansal(E1273)-Sales</v>
      </c>
      <c r="E274" t="str">
        <f t="shared" si="73"/>
        <v>Sales</v>
      </c>
      <c r="F274" t="s">
        <v>34</v>
      </c>
      <c r="G274" t="s">
        <v>1069</v>
      </c>
      <c r="H274" t="str">
        <f t="shared" si="74"/>
        <v>Wednesday</v>
      </c>
      <c r="I274" t="str">
        <f t="shared" si="75"/>
        <v>Wed</v>
      </c>
      <c r="J274" t="str">
        <f t="shared" si="76"/>
        <v>day</v>
      </c>
      <c r="K274" t="str">
        <f t="shared" si="77"/>
        <v>Apr</v>
      </c>
      <c r="L274">
        <f t="shared" si="78"/>
        <v>2023</v>
      </c>
      <c r="M274" t="s">
        <v>1070</v>
      </c>
      <c r="N274">
        <f t="shared" si="79"/>
        <v>15</v>
      </c>
      <c r="O274">
        <f t="shared" si="80"/>
        <v>36</v>
      </c>
      <c r="P274">
        <f t="shared" si="81"/>
        <v>9</v>
      </c>
      <c r="Q274">
        <v>85495</v>
      </c>
      <c r="R274">
        <v>85694</v>
      </c>
      <c r="S274" t="str">
        <f t="shared" si="82"/>
        <v>high target</v>
      </c>
      <c r="T274" t="str">
        <f t="shared" si="83"/>
        <v>high target</v>
      </c>
      <c r="U274" t="s">
        <v>142</v>
      </c>
      <c r="V274">
        <f t="shared" si="84"/>
        <v>17</v>
      </c>
      <c r="W274" t="str">
        <f t="shared" si="85"/>
        <v>NEEDS IMPROVEMENT</v>
      </c>
      <c r="X274" t="str">
        <f t="shared" si="86"/>
        <v>needs improvement</v>
      </c>
      <c r="Y274" t="str">
        <f t="shared" si="87"/>
        <v>Needs Improvement</v>
      </c>
      <c r="AA274" t="e">
        <f t="shared" si="88"/>
        <v>#VALUE!</v>
      </c>
      <c r="AB274" t="e">
        <f t="shared" si="89"/>
        <v>#VALUE!</v>
      </c>
    </row>
    <row r="275" spans="1:28">
      <c r="A275" t="s">
        <v>1071</v>
      </c>
      <c r="B275" t="s">
        <v>745</v>
      </c>
      <c r="C275" t="s">
        <v>11</v>
      </c>
      <c r="D275" t="str">
        <f t="shared" si="72"/>
        <v>Nidhi Verma(E1274)-Sales</v>
      </c>
      <c r="E275" t="str">
        <f t="shared" si="73"/>
        <v>Sales</v>
      </c>
      <c r="F275" t="s">
        <v>19</v>
      </c>
      <c r="G275" t="s">
        <v>1072</v>
      </c>
      <c r="H275" t="str">
        <f t="shared" si="74"/>
        <v>Tuesday</v>
      </c>
      <c r="I275" t="str">
        <f t="shared" si="75"/>
        <v>Tue</v>
      </c>
      <c r="J275" t="str">
        <f t="shared" si="76"/>
        <v>day</v>
      </c>
      <c r="K275" t="str">
        <f t="shared" si="77"/>
        <v>Apr</v>
      </c>
      <c r="L275">
        <f t="shared" si="78"/>
        <v>2023</v>
      </c>
      <c r="M275" t="s">
        <v>1073</v>
      </c>
      <c r="N275">
        <f t="shared" si="79"/>
        <v>35</v>
      </c>
      <c r="O275">
        <f t="shared" si="80"/>
        <v>24</v>
      </c>
      <c r="P275">
        <f t="shared" si="81"/>
        <v>9</v>
      </c>
      <c r="Q275">
        <v>59872</v>
      </c>
      <c r="R275">
        <v>71195</v>
      </c>
      <c r="S275" t="str">
        <f t="shared" si="82"/>
        <v>high target</v>
      </c>
      <c r="T275" t="str">
        <f t="shared" si="83"/>
        <v>high target</v>
      </c>
      <c r="U275" t="s">
        <v>68</v>
      </c>
      <c r="V275">
        <f t="shared" si="84"/>
        <v>13</v>
      </c>
      <c r="W275" t="str">
        <f t="shared" si="85"/>
        <v>GOOD TEAMWORK</v>
      </c>
      <c r="X275" t="str">
        <f t="shared" si="86"/>
        <v>good teamwork</v>
      </c>
      <c r="Y275" t="str">
        <f t="shared" si="87"/>
        <v>Good Teamwork</v>
      </c>
      <c r="AA275" t="e">
        <f t="shared" si="88"/>
        <v>#VALUE!</v>
      </c>
      <c r="AB275" t="e">
        <f t="shared" si="89"/>
        <v>#VALUE!</v>
      </c>
    </row>
    <row r="276" spans="1:28">
      <c r="A276" t="s">
        <v>1074</v>
      </c>
      <c r="B276" t="s">
        <v>1075</v>
      </c>
      <c r="C276" t="s">
        <v>11</v>
      </c>
      <c r="D276" t="str">
        <f t="shared" si="72"/>
        <v>Amit Joshi(E1275)-Sales</v>
      </c>
      <c r="E276" t="str">
        <f t="shared" si="73"/>
        <v>Sales</v>
      </c>
      <c r="F276" t="s">
        <v>79</v>
      </c>
      <c r="G276" t="s">
        <v>1076</v>
      </c>
      <c r="H276" t="str">
        <f t="shared" si="74"/>
        <v>Thursday</v>
      </c>
      <c r="I276" t="str">
        <f t="shared" si="75"/>
        <v>Thu</v>
      </c>
      <c r="J276" t="str">
        <f t="shared" si="76"/>
        <v>day</v>
      </c>
      <c r="K276" t="str">
        <f t="shared" si="77"/>
        <v>Jun</v>
      </c>
      <c r="L276">
        <f t="shared" si="78"/>
        <v>2023</v>
      </c>
      <c r="M276" t="s">
        <v>1077</v>
      </c>
      <c r="N276">
        <f t="shared" si="79"/>
        <v>21</v>
      </c>
      <c r="O276">
        <f t="shared" si="80"/>
        <v>50</v>
      </c>
      <c r="P276">
        <f t="shared" si="81"/>
        <v>10</v>
      </c>
      <c r="Q276">
        <v>68332</v>
      </c>
      <c r="R276">
        <v>77083</v>
      </c>
      <c r="S276" t="str">
        <f t="shared" si="82"/>
        <v>high target</v>
      </c>
      <c r="T276" t="str">
        <f t="shared" si="83"/>
        <v>high target</v>
      </c>
      <c r="U276" t="s">
        <v>487</v>
      </c>
      <c r="V276">
        <f t="shared" si="84"/>
        <v>13</v>
      </c>
      <c r="W276" t="str">
        <f t="shared" si="85"/>
        <v>GREAT SUPPORT</v>
      </c>
      <c r="X276" t="str">
        <f t="shared" si="86"/>
        <v>great support</v>
      </c>
      <c r="Y276" t="str">
        <f t="shared" si="87"/>
        <v>Great Support</v>
      </c>
      <c r="AA276" t="e">
        <f t="shared" si="88"/>
        <v>#VALUE!</v>
      </c>
      <c r="AB276" t="e">
        <f t="shared" si="89"/>
        <v>#VALUE!</v>
      </c>
    </row>
    <row r="277" spans="1:28">
      <c r="A277" t="s">
        <v>1078</v>
      </c>
      <c r="B277" t="s">
        <v>819</v>
      </c>
      <c r="C277" t="s">
        <v>53</v>
      </c>
      <c r="D277" t="str">
        <f t="shared" si="72"/>
        <v>Aakash Patel(E1276)-HR</v>
      </c>
      <c r="E277" t="str">
        <f t="shared" si="73"/>
        <v>HR</v>
      </c>
      <c r="F277" t="s">
        <v>27</v>
      </c>
      <c r="G277" t="s">
        <v>1079</v>
      </c>
      <c r="H277" t="str">
        <f t="shared" si="74"/>
        <v>Monday</v>
      </c>
      <c r="I277" t="str">
        <f t="shared" si="75"/>
        <v>Mon</v>
      </c>
      <c r="J277" t="str">
        <f t="shared" si="76"/>
        <v>day</v>
      </c>
      <c r="K277" t="str">
        <f t="shared" si="77"/>
        <v>Nov</v>
      </c>
      <c r="L277">
        <f t="shared" si="78"/>
        <v>2024</v>
      </c>
      <c r="M277" t="s">
        <v>358</v>
      </c>
      <c r="N277">
        <f t="shared" si="79"/>
        <v>17</v>
      </c>
      <c r="O277">
        <f t="shared" si="80"/>
        <v>30</v>
      </c>
      <c r="P277">
        <f t="shared" si="81"/>
        <v>10</v>
      </c>
      <c r="Q277">
        <v>32923</v>
      </c>
      <c r="R277">
        <v>43051</v>
      </c>
      <c r="S277" t="str">
        <f t="shared" si="82"/>
        <v>low target</v>
      </c>
      <c r="T277" t="str">
        <f t="shared" si="83"/>
        <v>mid target</v>
      </c>
      <c r="U277" t="s">
        <v>68</v>
      </c>
      <c r="V277">
        <f t="shared" si="84"/>
        <v>13</v>
      </c>
      <c r="W277" t="str">
        <f t="shared" si="85"/>
        <v>GOOD TEAMWORK</v>
      </c>
      <c r="X277" t="str">
        <f t="shared" si="86"/>
        <v>good teamwork</v>
      </c>
      <c r="Y277" t="str">
        <f t="shared" si="87"/>
        <v>Good Teamwork</v>
      </c>
      <c r="AA277" t="e">
        <f t="shared" si="88"/>
        <v>#VALUE!</v>
      </c>
      <c r="AB277" t="e">
        <f t="shared" si="89"/>
        <v>#VALUE!</v>
      </c>
    </row>
    <row r="278" spans="1:28">
      <c r="A278" t="s">
        <v>1080</v>
      </c>
      <c r="B278" t="s">
        <v>1081</v>
      </c>
      <c r="C278" t="s">
        <v>11</v>
      </c>
      <c r="D278" t="str">
        <f t="shared" si="72"/>
        <v>Madhuri Shah(E1277)-Sales</v>
      </c>
      <c r="E278" t="str">
        <f t="shared" si="73"/>
        <v>Sales</v>
      </c>
      <c r="F278" t="s">
        <v>65</v>
      </c>
      <c r="G278" t="s">
        <v>1082</v>
      </c>
      <c r="H278" t="str">
        <f t="shared" si="74"/>
        <v>Friday</v>
      </c>
      <c r="I278" t="str">
        <f t="shared" si="75"/>
        <v>Fri</v>
      </c>
      <c r="J278" t="str">
        <f t="shared" si="76"/>
        <v>day</v>
      </c>
      <c r="K278" t="str">
        <f t="shared" si="77"/>
        <v>Oct</v>
      </c>
      <c r="L278">
        <f t="shared" si="78"/>
        <v>2022</v>
      </c>
      <c r="M278" t="s">
        <v>1083</v>
      </c>
      <c r="N278">
        <f t="shared" si="79"/>
        <v>37</v>
      </c>
      <c r="O278">
        <f t="shared" si="80"/>
        <v>13</v>
      </c>
      <c r="P278">
        <f t="shared" si="81"/>
        <v>8</v>
      </c>
      <c r="Q278">
        <v>60551</v>
      </c>
      <c r="R278">
        <v>49449</v>
      </c>
      <c r="S278" t="str">
        <f t="shared" si="82"/>
        <v>low target</v>
      </c>
      <c r="T278" t="str">
        <f t="shared" si="83"/>
        <v>mid target</v>
      </c>
      <c r="U278" t="s">
        <v>487</v>
      </c>
      <c r="V278">
        <f t="shared" si="84"/>
        <v>13</v>
      </c>
      <c r="W278" t="str">
        <f t="shared" si="85"/>
        <v>GREAT SUPPORT</v>
      </c>
      <c r="X278" t="str">
        <f t="shared" si="86"/>
        <v>great support</v>
      </c>
      <c r="Y278" t="str">
        <f t="shared" si="87"/>
        <v>Great Support</v>
      </c>
      <c r="AA278" t="e">
        <f t="shared" si="88"/>
        <v>#VALUE!</v>
      </c>
      <c r="AB278" t="e">
        <f t="shared" si="89"/>
        <v>#VALUE!</v>
      </c>
    </row>
    <row r="279" spans="1:28">
      <c r="A279" t="s">
        <v>1084</v>
      </c>
      <c r="B279" t="s">
        <v>1085</v>
      </c>
      <c r="C279" t="s">
        <v>53</v>
      </c>
      <c r="D279" t="str">
        <f t="shared" si="72"/>
        <v>Rahul Gupta(E1278)-HR</v>
      </c>
      <c r="E279" t="str">
        <f t="shared" si="73"/>
        <v>HR</v>
      </c>
      <c r="F279" t="s">
        <v>27</v>
      </c>
      <c r="G279" t="s">
        <v>1086</v>
      </c>
      <c r="H279" t="str">
        <f t="shared" si="74"/>
        <v>Wednesday</v>
      </c>
      <c r="I279" t="str">
        <f t="shared" si="75"/>
        <v>Wed</v>
      </c>
      <c r="J279" t="str">
        <f t="shared" si="76"/>
        <v>day</v>
      </c>
      <c r="K279" t="str">
        <f t="shared" si="77"/>
        <v>Mar</v>
      </c>
      <c r="L279">
        <f t="shared" si="78"/>
        <v>2024</v>
      </c>
      <c r="M279" t="s">
        <v>1087</v>
      </c>
      <c r="N279">
        <f t="shared" si="79"/>
        <v>57</v>
      </c>
      <c r="O279">
        <f t="shared" si="80"/>
        <v>43</v>
      </c>
      <c r="P279">
        <f t="shared" si="81"/>
        <v>9</v>
      </c>
      <c r="Q279">
        <v>82166</v>
      </c>
      <c r="R279">
        <v>75426</v>
      </c>
      <c r="S279" t="str">
        <f t="shared" si="82"/>
        <v>high target</v>
      </c>
      <c r="T279" t="str">
        <f t="shared" si="83"/>
        <v>high target</v>
      </c>
      <c r="U279" t="s">
        <v>168</v>
      </c>
      <c r="V279">
        <f t="shared" si="84"/>
        <v>17</v>
      </c>
      <c r="W279" t="str">
        <f t="shared" si="85"/>
        <v>DETAILED ANALYSIS</v>
      </c>
      <c r="X279" t="str">
        <f t="shared" si="86"/>
        <v>detailed analysis</v>
      </c>
      <c r="Y279" t="str">
        <f t="shared" si="87"/>
        <v>Detailed Analysis</v>
      </c>
      <c r="AA279" t="e">
        <f t="shared" si="88"/>
        <v>#VALUE!</v>
      </c>
      <c r="AB279" t="e">
        <f t="shared" si="89"/>
        <v>#VALUE!</v>
      </c>
    </row>
    <row r="280" spans="1:28">
      <c r="A280" t="s">
        <v>1088</v>
      </c>
      <c r="B280" t="s">
        <v>505</v>
      </c>
      <c r="C280" t="s">
        <v>11</v>
      </c>
      <c r="D280" t="str">
        <f t="shared" si="72"/>
        <v>Harsh Kumar(E1279)-Sales</v>
      </c>
      <c r="E280" t="str">
        <f t="shared" si="73"/>
        <v>Sales</v>
      </c>
      <c r="F280" t="s">
        <v>34</v>
      </c>
      <c r="G280" t="s">
        <v>1089</v>
      </c>
      <c r="H280" t="str">
        <f t="shared" si="74"/>
        <v>Tuesday</v>
      </c>
      <c r="I280" t="str">
        <f t="shared" si="75"/>
        <v>Tue</v>
      </c>
      <c r="J280" t="str">
        <f t="shared" si="76"/>
        <v>day</v>
      </c>
      <c r="K280" t="str">
        <f t="shared" si="77"/>
        <v>Apr</v>
      </c>
      <c r="L280">
        <f t="shared" si="78"/>
        <v>2021</v>
      </c>
      <c r="M280" t="s">
        <v>1090</v>
      </c>
      <c r="N280">
        <f t="shared" si="79"/>
        <v>14</v>
      </c>
      <c r="O280">
        <f t="shared" si="80"/>
        <v>27</v>
      </c>
      <c r="P280">
        <f t="shared" si="81"/>
        <v>8</v>
      </c>
      <c r="Q280">
        <v>84944</v>
      </c>
      <c r="R280">
        <v>94963</v>
      </c>
      <c r="S280" t="str">
        <f t="shared" si="82"/>
        <v>high target</v>
      </c>
      <c r="T280" t="str">
        <f t="shared" si="83"/>
        <v>high target</v>
      </c>
      <c r="U280" t="s">
        <v>121</v>
      </c>
      <c r="V280">
        <f t="shared" si="84"/>
        <v>14</v>
      </c>
      <c r="W280" t="str">
        <f t="shared" si="85"/>
        <v>CREATIVE IDEAS</v>
      </c>
      <c r="X280" t="str">
        <f t="shared" si="86"/>
        <v>creative ideas</v>
      </c>
      <c r="Y280" t="str">
        <f t="shared" si="87"/>
        <v>Creative Ideas</v>
      </c>
      <c r="AA280" t="e">
        <f t="shared" si="88"/>
        <v>#VALUE!</v>
      </c>
      <c r="AB280" t="e">
        <f t="shared" si="89"/>
        <v>#VALUE!</v>
      </c>
    </row>
    <row r="281" spans="1:28">
      <c r="A281" t="s">
        <v>1091</v>
      </c>
      <c r="B281" t="s">
        <v>1092</v>
      </c>
      <c r="C281" t="s">
        <v>26</v>
      </c>
      <c r="D281" t="str">
        <f t="shared" si="72"/>
        <v>Shreya Jain(E1280)-Marketing</v>
      </c>
      <c r="E281" t="str">
        <f t="shared" si="73"/>
        <v>Marketing</v>
      </c>
      <c r="F281" t="s">
        <v>34</v>
      </c>
      <c r="G281" t="s">
        <v>1093</v>
      </c>
      <c r="H281" t="str">
        <f t="shared" si="74"/>
        <v>Tuesday</v>
      </c>
      <c r="I281" t="str">
        <f t="shared" si="75"/>
        <v>Tue</v>
      </c>
      <c r="J281" t="str">
        <f t="shared" si="76"/>
        <v>day</v>
      </c>
      <c r="K281" t="str">
        <f t="shared" si="77"/>
        <v>Mar</v>
      </c>
      <c r="L281">
        <f t="shared" si="78"/>
        <v>2021</v>
      </c>
      <c r="M281" t="s">
        <v>1094</v>
      </c>
      <c r="N281">
        <f t="shared" si="79"/>
        <v>50</v>
      </c>
      <c r="O281">
        <f t="shared" si="80"/>
        <v>17</v>
      </c>
      <c r="P281">
        <f t="shared" si="81"/>
        <v>10</v>
      </c>
      <c r="Q281">
        <v>86679</v>
      </c>
      <c r="R281">
        <v>69527</v>
      </c>
      <c r="S281" t="str">
        <f t="shared" si="82"/>
        <v>high target</v>
      </c>
      <c r="T281" t="str">
        <f t="shared" si="83"/>
        <v>mid target</v>
      </c>
      <c r="U281" t="s">
        <v>75</v>
      </c>
      <c r="V281">
        <f t="shared" si="84"/>
        <v>16</v>
      </c>
      <c r="W281" t="str">
        <f t="shared" si="85"/>
        <v>ACCURATE REPORTS</v>
      </c>
      <c r="X281" t="str">
        <f t="shared" si="86"/>
        <v>accurate reports</v>
      </c>
      <c r="Y281" t="str">
        <f t="shared" si="87"/>
        <v>Accurate Reports</v>
      </c>
      <c r="AA281" t="e">
        <f t="shared" si="88"/>
        <v>#VALUE!</v>
      </c>
      <c r="AB281" t="e">
        <f t="shared" si="89"/>
        <v>#VALUE!</v>
      </c>
    </row>
    <row r="282" spans="1:28">
      <c r="A282" t="s">
        <v>1095</v>
      </c>
      <c r="B282" t="s">
        <v>536</v>
      </c>
      <c r="C282" t="s">
        <v>26</v>
      </c>
      <c r="D282" t="str">
        <f t="shared" si="72"/>
        <v>Meera Goyal(E1281)-Marketing</v>
      </c>
      <c r="E282" t="str">
        <f t="shared" si="73"/>
        <v>Marketing</v>
      </c>
      <c r="F282" t="s">
        <v>89</v>
      </c>
      <c r="G282" t="s">
        <v>1096</v>
      </c>
      <c r="H282" t="str">
        <f t="shared" si="74"/>
        <v>Sunday</v>
      </c>
      <c r="I282" t="str">
        <f t="shared" si="75"/>
        <v>Sun</v>
      </c>
      <c r="J282" t="str">
        <f t="shared" si="76"/>
        <v>day</v>
      </c>
      <c r="K282" t="str">
        <f t="shared" si="77"/>
        <v>Jan</v>
      </c>
      <c r="L282">
        <f t="shared" si="78"/>
        <v>2022</v>
      </c>
      <c r="M282" t="s">
        <v>1097</v>
      </c>
      <c r="N282">
        <f t="shared" si="79"/>
        <v>42</v>
      </c>
      <c r="O282">
        <f t="shared" si="80"/>
        <v>37</v>
      </c>
      <c r="P282">
        <f t="shared" si="81"/>
        <v>10</v>
      </c>
      <c r="Q282">
        <v>55524</v>
      </c>
      <c r="R282">
        <v>64908</v>
      </c>
      <c r="S282" t="str">
        <f t="shared" si="82"/>
        <v>high target</v>
      </c>
      <c r="T282" t="str">
        <f t="shared" si="83"/>
        <v>mid target</v>
      </c>
      <c r="U282" t="s">
        <v>30</v>
      </c>
      <c r="V282">
        <f t="shared" si="84"/>
        <v>16</v>
      </c>
      <c r="W282" t="str">
        <f t="shared" si="85"/>
        <v>CUSTOMER FOCUSED</v>
      </c>
      <c r="X282" t="str">
        <f t="shared" si="86"/>
        <v>customer focused</v>
      </c>
      <c r="Y282" t="str">
        <f t="shared" si="87"/>
        <v>Customer Focused</v>
      </c>
      <c r="AA282" t="e">
        <f t="shared" si="88"/>
        <v>#VALUE!</v>
      </c>
      <c r="AB282" t="e">
        <f t="shared" si="89"/>
        <v>#VALUE!</v>
      </c>
    </row>
    <row r="283" spans="1:28">
      <c r="A283" t="s">
        <v>1098</v>
      </c>
      <c r="B283" t="s">
        <v>705</v>
      </c>
      <c r="C283" t="s">
        <v>53</v>
      </c>
      <c r="D283" t="str">
        <f t="shared" si="72"/>
        <v>Shreya Gupta(E1282)-HR</v>
      </c>
      <c r="E283" t="str">
        <f t="shared" si="73"/>
        <v>HR</v>
      </c>
      <c r="F283" t="s">
        <v>19</v>
      </c>
      <c r="G283" t="s">
        <v>1099</v>
      </c>
      <c r="H283" t="str">
        <f t="shared" si="74"/>
        <v>Friday</v>
      </c>
      <c r="I283" t="str">
        <f t="shared" si="75"/>
        <v>Fri</v>
      </c>
      <c r="J283" t="str">
        <f t="shared" si="76"/>
        <v>day</v>
      </c>
      <c r="K283" t="str">
        <f t="shared" si="77"/>
        <v>Jun</v>
      </c>
      <c r="L283">
        <f t="shared" si="78"/>
        <v>2021</v>
      </c>
      <c r="M283" t="s">
        <v>1100</v>
      </c>
      <c r="N283">
        <f t="shared" si="79"/>
        <v>24</v>
      </c>
      <c r="O283">
        <f t="shared" si="80"/>
        <v>9</v>
      </c>
      <c r="P283">
        <f t="shared" si="81"/>
        <v>9</v>
      </c>
      <c r="Q283">
        <v>81750</v>
      </c>
      <c r="R283">
        <v>86640</v>
      </c>
      <c r="S283" t="str">
        <f t="shared" si="82"/>
        <v>high target</v>
      </c>
      <c r="T283" t="str">
        <f t="shared" si="83"/>
        <v>high target</v>
      </c>
      <c r="U283" t="s">
        <v>22</v>
      </c>
      <c r="V283">
        <f t="shared" si="84"/>
        <v>13</v>
      </c>
      <c r="W283" t="str">
        <f t="shared" si="85"/>
        <v>FAST DELIVERY</v>
      </c>
      <c r="X283" t="str">
        <f t="shared" si="86"/>
        <v>fast delivery</v>
      </c>
      <c r="Y283" t="str">
        <f t="shared" si="87"/>
        <v>Fast Delivery</v>
      </c>
      <c r="AA283" t="e">
        <f t="shared" si="88"/>
        <v>#VALUE!</v>
      </c>
      <c r="AB283" t="e">
        <f t="shared" si="89"/>
        <v>#VALUE!</v>
      </c>
    </row>
    <row r="284" spans="1:28">
      <c r="A284" t="s">
        <v>1101</v>
      </c>
      <c r="B284" t="s">
        <v>1102</v>
      </c>
      <c r="C284" t="s">
        <v>41</v>
      </c>
      <c r="D284" t="str">
        <f t="shared" si="72"/>
        <v>Suresh Iyer(E1283)-Finance</v>
      </c>
      <c r="E284" t="str">
        <f t="shared" si="73"/>
        <v>Finance</v>
      </c>
      <c r="F284" t="s">
        <v>19</v>
      </c>
      <c r="G284" t="s">
        <v>1103</v>
      </c>
      <c r="H284" t="str">
        <f t="shared" si="74"/>
        <v>Wednesday</v>
      </c>
      <c r="I284" t="str">
        <f t="shared" si="75"/>
        <v>Wed</v>
      </c>
      <c r="J284" t="str">
        <f t="shared" si="76"/>
        <v>day</v>
      </c>
      <c r="K284" t="str">
        <f t="shared" si="77"/>
        <v>Jul</v>
      </c>
      <c r="L284">
        <f t="shared" si="78"/>
        <v>2021</v>
      </c>
      <c r="M284" t="s">
        <v>1104</v>
      </c>
      <c r="N284">
        <f t="shared" si="79"/>
        <v>28</v>
      </c>
      <c r="O284">
        <f t="shared" si="80"/>
        <v>19</v>
      </c>
      <c r="P284">
        <f t="shared" si="81"/>
        <v>8</v>
      </c>
      <c r="Q284">
        <v>66266</v>
      </c>
      <c r="R284">
        <v>63587</v>
      </c>
      <c r="S284" t="str">
        <f t="shared" si="82"/>
        <v>high target</v>
      </c>
      <c r="T284" t="str">
        <f t="shared" si="83"/>
        <v>mid target</v>
      </c>
      <c r="U284" t="s">
        <v>37</v>
      </c>
      <c r="V284">
        <f t="shared" si="84"/>
        <v>18</v>
      </c>
      <c r="W284" t="str">
        <f t="shared" si="85"/>
        <v>GOOD COMMUNICATION</v>
      </c>
      <c r="X284" t="str">
        <f t="shared" si="86"/>
        <v>good communication</v>
      </c>
      <c r="Y284" t="str">
        <f t="shared" si="87"/>
        <v>Good Communication</v>
      </c>
      <c r="AA284" t="e">
        <f t="shared" si="88"/>
        <v>#VALUE!</v>
      </c>
      <c r="AB284" t="e">
        <f t="shared" si="89"/>
        <v>#VALUE!</v>
      </c>
    </row>
    <row r="285" spans="1:28">
      <c r="A285" t="s">
        <v>1105</v>
      </c>
      <c r="B285" t="s">
        <v>395</v>
      </c>
      <c r="C285" t="s">
        <v>53</v>
      </c>
      <c r="D285" t="str">
        <f t="shared" si="72"/>
        <v>Arjun Verma(E1284)-HR</v>
      </c>
      <c r="E285" t="str">
        <f t="shared" si="73"/>
        <v>HR</v>
      </c>
      <c r="F285" t="s">
        <v>89</v>
      </c>
      <c r="G285" t="s">
        <v>28</v>
      </c>
      <c r="H285" t="str">
        <f t="shared" si="74"/>
        <v>Sunday</v>
      </c>
      <c r="I285" t="str">
        <f t="shared" si="75"/>
        <v>Sun</v>
      </c>
      <c r="J285" t="str">
        <f t="shared" si="76"/>
        <v>day</v>
      </c>
      <c r="K285" t="str">
        <f t="shared" si="77"/>
        <v>Jul</v>
      </c>
      <c r="L285">
        <f t="shared" si="78"/>
        <v>2023</v>
      </c>
      <c r="M285" t="s">
        <v>1106</v>
      </c>
      <c r="N285">
        <f t="shared" si="79"/>
        <v>32</v>
      </c>
      <c r="O285">
        <f t="shared" si="80"/>
        <v>35</v>
      </c>
      <c r="P285">
        <f t="shared" si="81"/>
        <v>10</v>
      </c>
      <c r="Q285">
        <v>58510</v>
      </c>
      <c r="R285">
        <v>66741</v>
      </c>
      <c r="S285" t="str">
        <f t="shared" si="82"/>
        <v>high target</v>
      </c>
      <c r="T285" t="str">
        <f t="shared" si="83"/>
        <v>mid target</v>
      </c>
      <c r="U285" t="s">
        <v>159</v>
      </c>
      <c r="V285">
        <f t="shared" si="84"/>
        <v>17</v>
      </c>
      <c r="W285" t="str">
        <f t="shared" si="85"/>
        <v>EXCELLENT SERVICE</v>
      </c>
      <c r="X285" t="str">
        <f t="shared" si="86"/>
        <v>excellent service</v>
      </c>
      <c r="Y285" t="str">
        <f t="shared" si="87"/>
        <v>Excellent Service</v>
      </c>
      <c r="AA285" t="e">
        <f t="shared" si="88"/>
        <v>#VALUE!</v>
      </c>
      <c r="AB285" t="e">
        <f t="shared" si="89"/>
        <v>#VALUE!</v>
      </c>
    </row>
    <row r="286" spans="1:28">
      <c r="A286" t="s">
        <v>1107</v>
      </c>
      <c r="B286" t="s">
        <v>1108</v>
      </c>
      <c r="C286" t="s">
        <v>11</v>
      </c>
      <c r="D286" t="str">
        <f t="shared" si="72"/>
        <v>Rahul Reddy(E1285)-Sales</v>
      </c>
      <c r="E286" t="str">
        <f t="shared" si="73"/>
        <v>Sales</v>
      </c>
      <c r="F286" t="s">
        <v>34</v>
      </c>
      <c r="G286" t="s">
        <v>1109</v>
      </c>
      <c r="H286" t="str">
        <f t="shared" si="74"/>
        <v>Tuesday</v>
      </c>
      <c r="I286" t="str">
        <f t="shared" si="75"/>
        <v>Tue</v>
      </c>
      <c r="J286" t="str">
        <f t="shared" si="76"/>
        <v>day</v>
      </c>
      <c r="K286" t="str">
        <f t="shared" si="77"/>
        <v>Feb</v>
      </c>
      <c r="L286">
        <f t="shared" si="78"/>
        <v>2023</v>
      </c>
      <c r="M286" t="s">
        <v>1110</v>
      </c>
      <c r="N286">
        <f t="shared" si="79"/>
        <v>26</v>
      </c>
      <c r="O286">
        <f t="shared" si="80"/>
        <v>18</v>
      </c>
      <c r="P286">
        <f t="shared" si="81"/>
        <v>8</v>
      </c>
      <c r="Q286">
        <v>55964</v>
      </c>
      <c r="R286">
        <v>65414</v>
      </c>
      <c r="S286" t="str">
        <f t="shared" si="82"/>
        <v>high target</v>
      </c>
      <c r="T286" t="str">
        <f t="shared" si="83"/>
        <v>mid target</v>
      </c>
      <c r="U286" t="s">
        <v>22</v>
      </c>
      <c r="V286">
        <f t="shared" si="84"/>
        <v>13</v>
      </c>
      <c r="W286" t="str">
        <f t="shared" si="85"/>
        <v>FAST DELIVERY</v>
      </c>
      <c r="X286" t="str">
        <f t="shared" si="86"/>
        <v>fast delivery</v>
      </c>
      <c r="Y286" t="str">
        <f t="shared" si="87"/>
        <v>Fast Delivery</v>
      </c>
      <c r="AA286" t="e">
        <f t="shared" si="88"/>
        <v>#VALUE!</v>
      </c>
      <c r="AB286" t="e">
        <f t="shared" si="89"/>
        <v>#VALUE!</v>
      </c>
    </row>
    <row r="287" spans="1:28">
      <c r="A287" t="s">
        <v>1111</v>
      </c>
      <c r="B287" t="s">
        <v>1112</v>
      </c>
      <c r="C287" t="s">
        <v>53</v>
      </c>
      <c r="D287" t="str">
        <f t="shared" si="72"/>
        <v>Aditya Goyal(E1286)-HR</v>
      </c>
      <c r="E287" t="str">
        <f t="shared" si="73"/>
        <v>HR</v>
      </c>
      <c r="F287" t="s">
        <v>65</v>
      </c>
      <c r="G287" t="s">
        <v>1113</v>
      </c>
      <c r="H287" t="str">
        <f t="shared" si="74"/>
        <v>Monday</v>
      </c>
      <c r="I287" t="str">
        <f t="shared" si="75"/>
        <v>Mon</v>
      </c>
      <c r="J287" t="str">
        <f t="shared" si="76"/>
        <v>day</v>
      </c>
      <c r="K287" t="str">
        <f t="shared" si="77"/>
        <v>Nov</v>
      </c>
      <c r="L287">
        <f t="shared" si="78"/>
        <v>2024</v>
      </c>
      <c r="M287" t="s">
        <v>1114</v>
      </c>
      <c r="N287">
        <f t="shared" si="79"/>
        <v>8</v>
      </c>
      <c r="O287">
        <f t="shared" si="80"/>
        <v>10</v>
      </c>
      <c r="P287">
        <f t="shared" si="81"/>
        <v>9</v>
      </c>
      <c r="Q287">
        <v>62357</v>
      </c>
      <c r="R287">
        <v>57623</v>
      </c>
      <c r="S287" t="str">
        <f t="shared" si="82"/>
        <v>high target</v>
      </c>
      <c r="T287" t="str">
        <f t="shared" si="83"/>
        <v>mid target</v>
      </c>
      <c r="U287" t="s">
        <v>142</v>
      </c>
      <c r="V287">
        <f t="shared" si="84"/>
        <v>17</v>
      </c>
      <c r="W287" t="str">
        <f t="shared" si="85"/>
        <v>NEEDS IMPROVEMENT</v>
      </c>
      <c r="X287" t="str">
        <f t="shared" si="86"/>
        <v>needs improvement</v>
      </c>
      <c r="Y287" t="str">
        <f t="shared" si="87"/>
        <v>Needs Improvement</v>
      </c>
      <c r="AA287" t="e">
        <f t="shared" si="88"/>
        <v>#VALUE!</v>
      </c>
      <c r="AB287" t="e">
        <f t="shared" si="89"/>
        <v>#VALUE!</v>
      </c>
    </row>
    <row r="288" spans="1:28">
      <c r="A288" t="s">
        <v>1115</v>
      </c>
      <c r="B288" t="s">
        <v>1116</v>
      </c>
      <c r="C288" t="s">
        <v>11</v>
      </c>
      <c r="D288" t="str">
        <f t="shared" si="72"/>
        <v>Kavita Kumar(E1287)-Sales</v>
      </c>
      <c r="E288" t="str">
        <f t="shared" si="73"/>
        <v>Sales</v>
      </c>
      <c r="F288" t="s">
        <v>65</v>
      </c>
      <c r="G288" t="s">
        <v>1117</v>
      </c>
      <c r="H288" t="str">
        <f t="shared" si="74"/>
        <v>Saturday</v>
      </c>
      <c r="I288" t="str">
        <f t="shared" si="75"/>
        <v>Sat</v>
      </c>
      <c r="J288" t="str">
        <f t="shared" si="76"/>
        <v>day</v>
      </c>
      <c r="K288" t="str">
        <f t="shared" si="77"/>
        <v>Jun</v>
      </c>
      <c r="L288">
        <f t="shared" si="78"/>
        <v>2023</v>
      </c>
      <c r="M288" t="s">
        <v>1118</v>
      </c>
      <c r="N288">
        <f t="shared" si="79"/>
        <v>19</v>
      </c>
      <c r="O288">
        <f t="shared" si="80"/>
        <v>26</v>
      </c>
      <c r="P288">
        <f t="shared" si="81"/>
        <v>9</v>
      </c>
      <c r="Q288">
        <v>61775</v>
      </c>
      <c r="R288">
        <v>71734</v>
      </c>
      <c r="S288" t="str">
        <f t="shared" si="82"/>
        <v>high target</v>
      </c>
      <c r="T288" t="str">
        <f t="shared" si="83"/>
        <v>high target</v>
      </c>
      <c r="U288" t="s">
        <v>121</v>
      </c>
      <c r="V288">
        <f t="shared" si="84"/>
        <v>14</v>
      </c>
      <c r="W288" t="str">
        <f t="shared" si="85"/>
        <v>CREATIVE IDEAS</v>
      </c>
      <c r="X288" t="str">
        <f t="shared" si="86"/>
        <v>creative ideas</v>
      </c>
      <c r="Y288" t="str">
        <f t="shared" si="87"/>
        <v>Creative Ideas</v>
      </c>
      <c r="AA288" t="e">
        <f t="shared" si="88"/>
        <v>#VALUE!</v>
      </c>
      <c r="AB288" t="e">
        <f t="shared" si="89"/>
        <v>#VALUE!</v>
      </c>
    </row>
    <row r="289" spans="1:28">
      <c r="A289" t="s">
        <v>1119</v>
      </c>
      <c r="B289" t="s">
        <v>271</v>
      </c>
      <c r="C289" t="s">
        <v>26</v>
      </c>
      <c r="D289" t="str">
        <f t="shared" si="72"/>
        <v>Vikram Nair(E1288)-Marketing</v>
      </c>
      <c r="E289" t="str">
        <f t="shared" si="73"/>
        <v>Marketing</v>
      </c>
      <c r="F289" t="s">
        <v>27</v>
      </c>
      <c r="G289" t="s">
        <v>1120</v>
      </c>
      <c r="H289" t="str">
        <f t="shared" si="74"/>
        <v>Thursday</v>
      </c>
      <c r="I289" t="str">
        <f t="shared" si="75"/>
        <v>Thu</v>
      </c>
      <c r="J289" t="str">
        <f t="shared" si="76"/>
        <v>day</v>
      </c>
      <c r="K289" t="str">
        <f t="shared" si="77"/>
        <v>Jul</v>
      </c>
      <c r="L289">
        <f t="shared" si="78"/>
        <v>2023</v>
      </c>
      <c r="M289" t="s">
        <v>1121</v>
      </c>
      <c r="N289">
        <f t="shared" si="79"/>
        <v>19</v>
      </c>
      <c r="O289">
        <f t="shared" si="80"/>
        <v>8</v>
      </c>
      <c r="P289">
        <f t="shared" si="81"/>
        <v>8</v>
      </c>
      <c r="Q289">
        <v>51375</v>
      </c>
      <c r="R289">
        <v>40443</v>
      </c>
      <c r="S289" t="str">
        <f t="shared" si="82"/>
        <v>low target</v>
      </c>
      <c r="T289" t="str">
        <f t="shared" si="83"/>
        <v>mid target</v>
      </c>
      <c r="U289" t="s">
        <v>121</v>
      </c>
      <c r="V289">
        <f t="shared" si="84"/>
        <v>14</v>
      </c>
      <c r="W289" t="str">
        <f t="shared" si="85"/>
        <v>CREATIVE IDEAS</v>
      </c>
      <c r="X289" t="str">
        <f t="shared" si="86"/>
        <v>creative ideas</v>
      </c>
      <c r="Y289" t="str">
        <f t="shared" si="87"/>
        <v>Creative Ideas</v>
      </c>
      <c r="AA289" t="e">
        <f t="shared" si="88"/>
        <v>#VALUE!</v>
      </c>
      <c r="AB289" t="e">
        <f t="shared" si="89"/>
        <v>#VALUE!</v>
      </c>
    </row>
    <row r="290" spans="1:28">
      <c r="A290" t="s">
        <v>1122</v>
      </c>
      <c r="B290" t="s">
        <v>701</v>
      </c>
      <c r="C290" t="s">
        <v>26</v>
      </c>
      <c r="D290" t="str">
        <f t="shared" si="72"/>
        <v>Varun Jain(E1289)-Marketing</v>
      </c>
      <c r="E290" t="str">
        <f t="shared" si="73"/>
        <v>Marketing</v>
      </c>
      <c r="F290" t="s">
        <v>34</v>
      </c>
      <c r="G290" t="s">
        <v>1123</v>
      </c>
      <c r="H290" t="str">
        <f t="shared" si="74"/>
        <v>Wednesday</v>
      </c>
      <c r="I290" t="str">
        <f t="shared" si="75"/>
        <v>Wed</v>
      </c>
      <c r="J290" t="str">
        <f t="shared" si="76"/>
        <v>day</v>
      </c>
      <c r="K290" t="str">
        <f t="shared" si="77"/>
        <v>Jun</v>
      </c>
      <c r="L290">
        <f t="shared" si="78"/>
        <v>2023</v>
      </c>
      <c r="M290" t="s">
        <v>1124</v>
      </c>
      <c r="N290">
        <f t="shared" si="79"/>
        <v>52</v>
      </c>
      <c r="O290">
        <f t="shared" si="80"/>
        <v>27</v>
      </c>
      <c r="P290">
        <f t="shared" si="81"/>
        <v>9</v>
      </c>
      <c r="Q290">
        <v>87892</v>
      </c>
      <c r="R290">
        <v>93971</v>
      </c>
      <c r="S290" t="str">
        <f t="shared" si="82"/>
        <v>high target</v>
      </c>
      <c r="T290" t="str">
        <f t="shared" si="83"/>
        <v>high target</v>
      </c>
      <c r="U290" t="s">
        <v>142</v>
      </c>
      <c r="V290">
        <f t="shared" si="84"/>
        <v>17</v>
      </c>
      <c r="W290" t="str">
        <f t="shared" si="85"/>
        <v>NEEDS IMPROVEMENT</v>
      </c>
      <c r="X290" t="str">
        <f t="shared" si="86"/>
        <v>needs improvement</v>
      </c>
      <c r="Y290" t="str">
        <f t="shared" si="87"/>
        <v>Needs Improvement</v>
      </c>
      <c r="AA290" t="e">
        <f t="shared" si="88"/>
        <v>#VALUE!</v>
      </c>
      <c r="AB290" t="e">
        <f t="shared" si="89"/>
        <v>#VALUE!</v>
      </c>
    </row>
    <row r="291" spans="1:28">
      <c r="A291" t="s">
        <v>1125</v>
      </c>
      <c r="B291" t="s">
        <v>1126</v>
      </c>
      <c r="C291" t="s">
        <v>53</v>
      </c>
      <c r="D291" t="str">
        <f t="shared" si="72"/>
        <v>Rohan Jain(E1290)-HR</v>
      </c>
      <c r="E291" t="str">
        <f t="shared" si="73"/>
        <v>HR</v>
      </c>
      <c r="F291" t="s">
        <v>79</v>
      </c>
      <c r="G291" t="s">
        <v>793</v>
      </c>
      <c r="H291" t="str">
        <f t="shared" si="74"/>
        <v>Thursday</v>
      </c>
      <c r="I291" t="str">
        <f t="shared" si="75"/>
        <v>Thu</v>
      </c>
      <c r="J291" t="str">
        <f t="shared" si="76"/>
        <v>day</v>
      </c>
      <c r="K291" t="str">
        <f t="shared" si="77"/>
        <v>Oct</v>
      </c>
      <c r="L291">
        <f t="shared" si="78"/>
        <v>2022</v>
      </c>
      <c r="M291" t="s">
        <v>1127</v>
      </c>
      <c r="N291">
        <f t="shared" si="79"/>
        <v>20</v>
      </c>
      <c r="O291">
        <f t="shared" si="80"/>
        <v>25</v>
      </c>
      <c r="P291">
        <f t="shared" si="81"/>
        <v>8</v>
      </c>
      <c r="Q291">
        <v>76278</v>
      </c>
      <c r="R291">
        <v>59100</v>
      </c>
      <c r="S291" t="str">
        <f t="shared" si="82"/>
        <v>high target</v>
      </c>
      <c r="T291" t="str">
        <f t="shared" si="83"/>
        <v>mid target</v>
      </c>
      <c r="U291" t="s">
        <v>15</v>
      </c>
      <c r="V291">
        <f t="shared" si="84"/>
        <v>20</v>
      </c>
      <c r="W291" t="str">
        <f t="shared" si="85"/>
        <v>EXCELLENT LEADERSHIP</v>
      </c>
      <c r="X291" t="str">
        <f t="shared" si="86"/>
        <v>excellent leadership</v>
      </c>
      <c r="Y291" t="str">
        <f t="shared" si="87"/>
        <v>Excellent Leadership</v>
      </c>
      <c r="AA291" t="e">
        <f t="shared" si="88"/>
        <v>#VALUE!</v>
      </c>
      <c r="AB291" t="e">
        <f t="shared" si="89"/>
        <v>#VALUE!</v>
      </c>
    </row>
    <row r="292" spans="1:28">
      <c r="A292" t="s">
        <v>1128</v>
      </c>
      <c r="B292" t="s">
        <v>1129</v>
      </c>
      <c r="C292" t="s">
        <v>41</v>
      </c>
      <c r="D292" t="str">
        <f t="shared" si="72"/>
        <v>Tanya Nair(E1291)-Finance</v>
      </c>
      <c r="E292" t="str">
        <f t="shared" si="73"/>
        <v>Finance</v>
      </c>
      <c r="F292" t="s">
        <v>89</v>
      </c>
      <c r="G292" t="s">
        <v>1130</v>
      </c>
      <c r="H292" t="str">
        <f t="shared" si="74"/>
        <v>Friday</v>
      </c>
      <c r="I292" t="str">
        <f t="shared" si="75"/>
        <v>Fri</v>
      </c>
      <c r="J292" t="str">
        <f t="shared" si="76"/>
        <v>day</v>
      </c>
      <c r="K292" t="str">
        <f t="shared" si="77"/>
        <v>Jul</v>
      </c>
      <c r="L292">
        <f t="shared" si="78"/>
        <v>2022</v>
      </c>
      <c r="M292" t="s">
        <v>1131</v>
      </c>
      <c r="N292">
        <f t="shared" si="79"/>
        <v>7</v>
      </c>
      <c r="O292">
        <f t="shared" si="80"/>
        <v>23</v>
      </c>
      <c r="P292">
        <f t="shared" si="81"/>
        <v>9</v>
      </c>
      <c r="Q292">
        <v>75046</v>
      </c>
      <c r="R292">
        <v>76952</v>
      </c>
      <c r="S292" t="str">
        <f t="shared" si="82"/>
        <v>high target</v>
      </c>
      <c r="T292" t="str">
        <f t="shared" si="83"/>
        <v>high target</v>
      </c>
      <c r="U292" t="s">
        <v>15</v>
      </c>
      <c r="V292">
        <f t="shared" si="84"/>
        <v>20</v>
      </c>
      <c r="W292" t="str">
        <f t="shared" si="85"/>
        <v>EXCELLENT LEADERSHIP</v>
      </c>
      <c r="X292" t="str">
        <f t="shared" si="86"/>
        <v>excellent leadership</v>
      </c>
      <c r="Y292" t="str">
        <f t="shared" si="87"/>
        <v>Excellent Leadership</v>
      </c>
      <c r="AA292" t="e">
        <f t="shared" si="88"/>
        <v>#VALUE!</v>
      </c>
      <c r="AB292" t="e">
        <f t="shared" si="89"/>
        <v>#VALUE!</v>
      </c>
    </row>
    <row r="293" spans="1:28">
      <c r="A293" t="s">
        <v>1132</v>
      </c>
      <c r="B293" t="s">
        <v>1133</v>
      </c>
      <c r="C293" t="s">
        <v>11</v>
      </c>
      <c r="D293" t="str">
        <f t="shared" si="72"/>
        <v>Ritika Joshi(E1292)-Sales</v>
      </c>
      <c r="E293" t="str">
        <f t="shared" si="73"/>
        <v>Sales</v>
      </c>
      <c r="F293" t="s">
        <v>79</v>
      </c>
      <c r="G293" t="s">
        <v>1134</v>
      </c>
      <c r="H293" t="str">
        <f t="shared" si="74"/>
        <v>Saturday</v>
      </c>
      <c r="I293" t="str">
        <f t="shared" si="75"/>
        <v>Sat</v>
      </c>
      <c r="J293" t="str">
        <f t="shared" si="76"/>
        <v>day</v>
      </c>
      <c r="K293" t="str">
        <f t="shared" si="77"/>
        <v>Dec</v>
      </c>
      <c r="L293">
        <f t="shared" si="78"/>
        <v>2024</v>
      </c>
      <c r="M293" t="s">
        <v>1135</v>
      </c>
      <c r="N293">
        <f t="shared" si="79"/>
        <v>51</v>
      </c>
      <c r="O293">
        <f t="shared" si="80"/>
        <v>28</v>
      </c>
      <c r="P293">
        <f t="shared" si="81"/>
        <v>8</v>
      </c>
      <c r="Q293">
        <v>48624</v>
      </c>
      <c r="R293">
        <v>59092</v>
      </c>
      <c r="S293" t="str">
        <f t="shared" si="82"/>
        <v>high target</v>
      </c>
      <c r="T293" t="str">
        <f t="shared" si="83"/>
        <v>mid target</v>
      </c>
      <c r="U293" t="s">
        <v>213</v>
      </c>
      <c r="V293">
        <f t="shared" si="84"/>
        <v>17</v>
      </c>
      <c r="W293" t="str">
        <f t="shared" si="85"/>
        <v>POSITIVE ATTITUDE</v>
      </c>
      <c r="X293" t="str">
        <f t="shared" si="86"/>
        <v>positive attitude</v>
      </c>
      <c r="Y293" t="str">
        <f t="shared" si="87"/>
        <v>Positive Attitude</v>
      </c>
      <c r="AA293" t="e">
        <f t="shared" si="88"/>
        <v>#VALUE!</v>
      </c>
      <c r="AB293" t="e">
        <f t="shared" si="89"/>
        <v>#VALUE!</v>
      </c>
    </row>
    <row r="294" spans="1:28">
      <c r="A294" t="s">
        <v>1136</v>
      </c>
      <c r="B294" t="s">
        <v>325</v>
      </c>
      <c r="C294" t="s">
        <v>26</v>
      </c>
      <c r="D294" t="str">
        <f t="shared" si="72"/>
        <v>Isha Chopra(E1293)-Marketing</v>
      </c>
      <c r="E294" t="str">
        <f t="shared" si="73"/>
        <v>Marketing</v>
      </c>
      <c r="F294" t="s">
        <v>65</v>
      </c>
      <c r="G294" t="s">
        <v>1137</v>
      </c>
      <c r="H294" t="str">
        <f t="shared" si="74"/>
        <v>Sunday</v>
      </c>
      <c r="I294" t="str">
        <f t="shared" si="75"/>
        <v>Sun</v>
      </c>
      <c r="J294" t="str">
        <f t="shared" si="76"/>
        <v>day</v>
      </c>
      <c r="K294" t="str">
        <f t="shared" si="77"/>
        <v>Jul</v>
      </c>
      <c r="L294">
        <f t="shared" si="78"/>
        <v>2024</v>
      </c>
      <c r="M294" t="s">
        <v>1138</v>
      </c>
      <c r="N294">
        <f t="shared" si="79"/>
        <v>16</v>
      </c>
      <c r="O294">
        <f t="shared" si="80"/>
        <v>15</v>
      </c>
      <c r="P294">
        <f t="shared" si="81"/>
        <v>9</v>
      </c>
      <c r="Q294">
        <v>78267</v>
      </c>
      <c r="R294">
        <v>83166</v>
      </c>
      <c r="S294" t="str">
        <f t="shared" si="82"/>
        <v>high target</v>
      </c>
      <c r="T294" t="str">
        <f t="shared" si="83"/>
        <v>high target</v>
      </c>
      <c r="U294" t="s">
        <v>22</v>
      </c>
      <c r="V294">
        <f t="shared" si="84"/>
        <v>13</v>
      </c>
      <c r="W294" t="str">
        <f t="shared" si="85"/>
        <v>FAST DELIVERY</v>
      </c>
      <c r="X294" t="str">
        <f t="shared" si="86"/>
        <v>fast delivery</v>
      </c>
      <c r="Y294" t="str">
        <f t="shared" si="87"/>
        <v>Fast Delivery</v>
      </c>
      <c r="AA294" t="e">
        <f t="shared" si="88"/>
        <v>#VALUE!</v>
      </c>
      <c r="AB294" t="e">
        <f t="shared" si="89"/>
        <v>#VALUE!</v>
      </c>
    </row>
    <row r="295" spans="1:28">
      <c r="A295" t="s">
        <v>1139</v>
      </c>
      <c r="B295" t="s">
        <v>283</v>
      </c>
      <c r="C295" t="s">
        <v>11</v>
      </c>
      <c r="D295" t="str">
        <f t="shared" si="72"/>
        <v>Nisha Bansal(E1294)-Sales</v>
      </c>
      <c r="E295" t="str">
        <f t="shared" si="73"/>
        <v>Sales</v>
      </c>
      <c r="F295" t="s">
        <v>79</v>
      </c>
      <c r="G295" t="s">
        <v>1140</v>
      </c>
      <c r="H295" t="str">
        <f t="shared" si="74"/>
        <v>Thursday</v>
      </c>
      <c r="I295" t="str">
        <f t="shared" si="75"/>
        <v>Thu</v>
      </c>
      <c r="J295" t="str">
        <f t="shared" si="76"/>
        <v>day</v>
      </c>
      <c r="K295" t="str">
        <f t="shared" si="77"/>
        <v>May</v>
      </c>
      <c r="L295">
        <f t="shared" si="78"/>
        <v>2024</v>
      </c>
      <c r="M295" t="s">
        <v>1141</v>
      </c>
      <c r="N295">
        <f t="shared" si="79"/>
        <v>25</v>
      </c>
      <c r="O295">
        <f t="shared" si="80"/>
        <v>37</v>
      </c>
      <c r="P295">
        <f t="shared" si="81"/>
        <v>9</v>
      </c>
      <c r="Q295">
        <v>93221</v>
      </c>
      <c r="R295">
        <v>75020</v>
      </c>
      <c r="S295" t="str">
        <f t="shared" si="82"/>
        <v>high target</v>
      </c>
      <c r="T295" t="str">
        <f t="shared" si="83"/>
        <v>high target</v>
      </c>
      <c r="U295" t="s">
        <v>487</v>
      </c>
      <c r="V295">
        <f t="shared" si="84"/>
        <v>13</v>
      </c>
      <c r="W295" t="str">
        <f t="shared" si="85"/>
        <v>GREAT SUPPORT</v>
      </c>
      <c r="X295" t="str">
        <f t="shared" si="86"/>
        <v>great support</v>
      </c>
      <c r="Y295" t="str">
        <f t="shared" si="87"/>
        <v>Great Support</v>
      </c>
      <c r="AA295" t="e">
        <f t="shared" si="88"/>
        <v>#VALUE!</v>
      </c>
      <c r="AB295" t="e">
        <f t="shared" si="89"/>
        <v>#VALUE!</v>
      </c>
    </row>
    <row r="296" spans="1:28">
      <c r="A296" t="s">
        <v>1142</v>
      </c>
      <c r="B296" t="s">
        <v>1143</v>
      </c>
      <c r="C296" t="s">
        <v>11</v>
      </c>
      <c r="D296" t="str">
        <f t="shared" si="72"/>
        <v>Madhuri Chopra(E1295)-Sales</v>
      </c>
      <c r="E296" t="str">
        <f t="shared" si="73"/>
        <v>Sales</v>
      </c>
      <c r="F296" t="s">
        <v>34</v>
      </c>
      <c r="G296" t="s">
        <v>1144</v>
      </c>
      <c r="H296" t="str">
        <f t="shared" si="74"/>
        <v>Saturday</v>
      </c>
      <c r="I296" t="str">
        <f t="shared" si="75"/>
        <v>Sat</v>
      </c>
      <c r="J296" t="str">
        <f t="shared" si="76"/>
        <v>day</v>
      </c>
      <c r="K296" t="str">
        <f t="shared" si="77"/>
        <v>Dec</v>
      </c>
      <c r="L296">
        <f t="shared" si="78"/>
        <v>2024</v>
      </c>
      <c r="M296" t="s">
        <v>1145</v>
      </c>
      <c r="N296">
        <f t="shared" si="79"/>
        <v>40</v>
      </c>
      <c r="O296">
        <f t="shared" si="80"/>
        <v>38</v>
      </c>
      <c r="P296">
        <f t="shared" si="81"/>
        <v>10</v>
      </c>
      <c r="Q296">
        <v>90495</v>
      </c>
      <c r="R296">
        <v>99926</v>
      </c>
      <c r="S296" t="str">
        <f t="shared" si="82"/>
        <v>high target</v>
      </c>
      <c r="T296" t="str">
        <f t="shared" si="83"/>
        <v>high target</v>
      </c>
      <c r="U296" t="s">
        <v>37</v>
      </c>
      <c r="V296">
        <f t="shared" si="84"/>
        <v>18</v>
      </c>
      <c r="W296" t="str">
        <f t="shared" si="85"/>
        <v>GOOD COMMUNICATION</v>
      </c>
      <c r="X296" t="str">
        <f t="shared" si="86"/>
        <v>good communication</v>
      </c>
      <c r="Y296" t="str">
        <f t="shared" si="87"/>
        <v>Good Communication</v>
      </c>
      <c r="AA296" t="e">
        <f t="shared" si="88"/>
        <v>#VALUE!</v>
      </c>
      <c r="AB296" t="e">
        <f t="shared" si="89"/>
        <v>#VALUE!</v>
      </c>
    </row>
    <row r="297" spans="1:28">
      <c r="A297" t="s">
        <v>1146</v>
      </c>
      <c r="B297" t="s">
        <v>1147</v>
      </c>
      <c r="C297" t="s">
        <v>41</v>
      </c>
      <c r="D297" t="str">
        <f t="shared" si="72"/>
        <v>Harsh Nair(E1296)-Finance</v>
      </c>
      <c r="E297" t="str">
        <f t="shared" si="73"/>
        <v>Finance</v>
      </c>
      <c r="F297" t="s">
        <v>65</v>
      </c>
      <c r="G297" t="s">
        <v>1148</v>
      </c>
      <c r="H297" t="str">
        <f t="shared" si="74"/>
        <v>Sunday</v>
      </c>
      <c r="I297" t="str">
        <f t="shared" si="75"/>
        <v>Sun</v>
      </c>
      <c r="J297" t="str">
        <f t="shared" si="76"/>
        <v>day</v>
      </c>
      <c r="K297" t="str">
        <f t="shared" si="77"/>
        <v>Aug</v>
      </c>
      <c r="L297">
        <f t="shared" si="78"/>
        <v>2024</v>
      </c>
      <c r="M297" t="s">
        <v>1149</v>
      </c>
      <c r="N297">
        <f t="shared" si="79"/>
        <v>36</v>
      </c>
      <c r="O297">
        <f t="shared" si="80"/>
        <v>2</v>
      </c>
      <c r="P297">
        <f t="shared" si="81"/>
        <v>10</v>
      </c>
      <c r="Q297">
        <v>93461</v>
      </c>
      <c r="R297">
        <v>82272</v>
      </c>
      <c r="S297" t="str">
        <f t="shared" si="82"/>
        <v>high target</v>
      </c>
      <c r="T297" t="str">
        <f t="shared" si="83"/>
        <v>high target</v>
      </c>
      <c r="U297" t="s">
        <v>30</v>
      </c>
      <c r="V297">
        <f t="shared" si="84"/>
        <v>16</v>
      </c>
      <c r="W297" t="str">
        <f t="shared" si="85"/>
        <v>CUSTOMER FOCUSED</v>
      </c>
      <c r="X297" t="str">
        <f t="shared" si="86"/>
        <v>customer focused</v>
      </c>
      <c r="Y297" t="str">
        <f t="shared" si="87"/>
        <v>Customer Focused</v>
      </c>
      <c r="AA297" t="e">
        <f t="shared" si="88"/>
        <v>#VALUE!</v>
      </c>
      <c r="AB297" t="e">
        <f t="shared" si="89"/>
        <v>#VALUE!</v>
      </c>
    </row>
    <row r="298" spans="1:28">
      <c r="A298" t="s">
        <v>1150</v>
      </c>
      <c r="B298" t="s">
        <v>1151</v>
      </c>
      <c r="C298" t="s">
        <v>11</v>
      </c>
      <c r="D298" t="str">
        <f t="shared" si="72"/>
        <v>Rohan Chopra(E1297)-Sales</v>
      </c>
      <c r="E298" t="str">
        <f t="shared" si="73"/>
        <v>Sales</v>
      </c>
      <c r="F298" t="s">
        <v>72</v>
      </c>
      <c r="G298" t="s">
        <v>1152</v>
      </c>
      <c r="H298" t="str">
        <f t="shared" si="74"/>
        <v>Wednesday</v>
      </c>
      <c r="I298" t="str">
        <f t="shared" si="75"/>
        <v>Wed</v>
      </c>
      <c r="J298" t="str">
        <f t="shared" si="76"/>
        <v>day</v>
      </c>
      <c r="K298" t="str">
        <f t="shared" si="77"/>
        <v>Jul</v>
      </c>
      <c r="L298">
        <f t="shared" si="78"/>
        <v>2021</v>
      </c>
      <c r="M298" t="s">
        <v>1153</v>
      </c>
      <c r="N298">
        <f t="shared" si="79"/>
        <v>32</v>
      </c>
      <c r="O298">
        <f t="shared" si="80"/>
        <v>14</v>
      </c>
      <c r="P298">
        <f t="shared" si="81"/>
        <v>9</v>
      </c>
      <c r="Q298">
        <v>107944</v>
      </c>
      <c r="R298">
        <v>88945</v>
      </c>
      <c r="S298" t="str">
        <f t="shared" si="82"/>
        <v>high target</v>
      </c>
      <c r="T298" t="str">
        <f t="shared" si="83"/>
        <v>high target</v>
      </c>
      <c r="U298" t="s">
        <v>44</v>
      </c>
      <c r="V298">
        <f t="shared" si="84"/>
        <v>19</v>
      </c>
      <c r="W298" t="str">
        <f t="shared" si="85"/>
        <v>STRONG PRESENTATION</v>
      </c>
      <c r="X298" t="str">
        <f t="shared" si="86"/>
        <v>strong presentation</v>
      </c>
      <c r="Y298" t="str">
        <f t="shared" si="87"/>
        <v>Strong Presentation</v>
      </c>
      <c r="AA298" t="e">
        <f t="shared" si="88"/>
        <v>#VALUE!</v>
      </c>
      <c r="AB298" t="e">
        <f t="shared" si="89"/>
        <v>#VALUE!</v>
      </c>
    </row>
    <row r="299" spans="1:28">
      <c r="A299" t="s">
        <v>1154</v>
      </c>
      <c r="B299" t="s">
        <v>951</v>
      </c>
      <c r="C299" t="s">
        <v>53</v>
      </c>
      <c r="D299" t="str">
        <f t="shared" si="72"/>
        <v>Manish Mishra(E1298)-HR</v>
      </c>
      <c r="E299" t="str">
        <f t="shared" si="73"/>
        <v>HR</v>
      </c>
      <c r="F299" t="s">
        <v>79</v>
      </c>
      <c r="G299" t="s">
        <v>1155</v>
      </c>
      <c r="H299" t="str">
        <f t="shared" si="74"/>
        <v>Monday</v>
      </c>
      <c r="I299" t="str">
        <f t="shared" si="75"/>
        <v>Mon</v>
      </c>
      <c r="J299" t="str">
        <f t="shared" si="76"/>
        <v>day</v>
      </c>
      <c r="K299" t="str">
        <f t="shared" si="77"/>
        <v>Feb</v>
      </c>
      <c r="L299">
        <f t="shared" si="78"/>
        <v>2023</v>
      </c>
      <c r="M299" t="s">
        <v>1156</v>
      </c>
      <c r="N299">
        <f t="shared" si="79"/>
        <v>49</v>
      </c>
      <c r="O299">
        <f t="shared" si="80"/>
        <v>29</v>
      </c>
      <c r="P299">
        <f t="shared" si="81"/>
        <v>9</v>
      </c>
      <c r="Q299">
        <v>102333</v>
      </c>
      <c r="R299">
        <v>84535</v>
      </c>
      <c r="S299" t="str">
        <f t="shared" si="82"/>
        <v>high target</v>
      </c>
      <c r="T299" t="str">
        <f t="shared" si="83"/>
        <v>high target</v>
      </c>
      <c r="U299" t="s">
        <v>112</v>
      </c>
      <c r="V299">
        <f t="shared" si="84"/>
        <v>14</v>
      </c>
      <c r="W299" t="str">
        <f t="shared" si="85"/>
        <v>QUICK RESPONSE</v>
      </c>
      <c r="X299" t="str">
        <f t="shared" si="86"/>
        <v>quick response</v>
      </c>
      <c r="Y299" t="str">
        <f t="shared" si="87"/>
        <v>Quick Response</v>
      </c>
      <c r="AA299" t="e">
        <f t="shared" si="88"/>
        <v>#VALUE!</v>
      </c>
      <c r="AB299" t="e">
        <f t="shared" si="89"/>
        <v>#VALUE!</v>
      </c>
    </row>
    <row r="300" spans="1:28">
      <c r="A300" t="s">
        <v>1157</v>
      </c>
      <c r="B300" t="s">
        <v>1158</v>
      </c>
      <c r="C300" t="s">
        <v>26</v>
      </c>
      <c r="D300" t="str">
        <f t="shared" si="72"/>
        <v>Meera Sharma(E1299)-Marketing</v>
      </c>
      <c r="E300" t="str">
        <f t="shared" si="73"/>
        <v>Marketing</v>
      </c>
      <c r="F300" t="s">
        <v>19</v>
      </c>
      <c r="G300" t="s">
        <v>1159</v>
      </c>
      <c r="H300" t="str">
        <f t="shared" si="74"/>
        <v>Monday</v>
      </c>
      <c r="I300" t="str">
        <f t="shared" si="75"/>
        <v>Mon</v>
      </c>
      <c r="J300" t="str">
        <f t="shared" si="76"/>
        <v>day</v>
      </c>
      <c r="K300" t="str">
        <f t="shared" si="77"/>
        <v>Aug</v>
      </c>
      <c r="L300">
        <f t="shared" si="78"/>
        <v>2022</v>
      </c>
      <c r="M300" t="s">
        <v>1160</v>
      </c>
      <c r="N300">
        <f t="shared" si="79"/>
        <v>5</v>
      </c>
      <c r="O300">
        <f t="shared" si="80"/>
        <v>58</v>
      </c>
      <c r="P300">
        <f t="shared" si="81"/>
        <v>9</v>
      </c>
      <c r="Q300">
        <v>41890</v>
      </c>
      <c r="R300">
        <v>47606</v>
      </c>
      <c r="S300" t="str">
        <f t="shared" si="82"/>
        <v>low target</v>
      </c>
      <c r="T300" t="str">
        <f t="shared" si="83"/>
        <v>mid target</v>
      </c>
      <c r="U300" t="s">
        <v>121</v>
      </c>
      <c r="V300">
        <f t="shared" si="84"/>
        <v>14</v>
      </c>
      <c r="W300" t="str">
        <f t="shared" si="85"/>
        <v>CREATIVE IDEAS</v>
      </c>
      <c r="X300" t="str">
        <f t="shared" si="86"/>
        <v>creative ideas</v>
      </c>
      <c r="Y300" t="str">
        <f t="shared" si="87"/>
        <v>Creative Ideas</v>
      </c>
      <c r="AA300" t="e">
        <f t="shared" si="88"/>
        <v>#VALUE!</v>
      </c>
      <c r="AB300" t="e">
        <f t="shared" si="89"/>
        <v>#VALUE!</v>
      </c>
    </row>
    <row r="301" spans="1:28">
      <c r="A301" t="s">
        <v>1161</v>
      </c>
      <c r="B301" t="s">
        <v>776</v>
      </c>
      <c r="C301" t="s">
        <v>26</v>
      </c>
      <c r="D301" t="str">
        <f t="shared" si="72"/>
        <v>Anjali Iyer(E1300)-Marketing</v>
      </c>
      <c r="E301" t="str">
        <f t="shared" si="73"/>
        <v>Marketing</v>
      </c>
      <c r="F301" t="s">
        <v>27</v>
      </c>
      <c r="G301" t="s">
        <v>1162</v>
      </c>
      <c r="H301" t="str">
        <f t="shared" si="74"/>
        <v>Monday</v>
      </c>
      <c r="I301" t="str">
        <f t="shared" si="75"/>
        <v>Mon</v>
      </c>
      <c r="J301" t="str">
        <f t="shared" si="76"/>
        <v>day</v>
      </c>
      <c r="K301" t="str">
        <f t="shared" si="77"/>
        <v>Dec</v>
      </c>
      <c r="L301">
        <f t="shared" si="78"/>
        <v>2023</v>
      </c>
      <c r="M301" t="s">
        <v>1163</v>
      </c>
      <c r="N301">
        <f t="shared" si="79"/>
        <v>30</v>
      </c>
      <c r="O301">
        <f t="shared" si="80"/>
        <v>22</v>
      </c>
      <c r="P301">
        <f t="shared" si="81"/>
        <v>9</v>
      </c>
      <c r="Q301">
        <v>60112</v>
      </c>
      <c r="R301">
        <v>46397</v>
      </c>
      <c r="S301" t="str">
        <f t="shared" si="82"/>
        <v>low target</v>
      </c>
      <c r="T301" t="str">
        <f t="shared" si="83"/>
        <v>mid target</v>
      </c>
      <c r="U301" t="s">
        <v>22</v>
      </c>
      <c r="V301">
        <f t="shared" si="84"/>
        <v>13</v>
      </c>
      <c r="W301" t="str">
        <f t="shared" si="85"/>
        <v>FAST DELIVERY</v>
      </c>
      <c r="X301" t="str">
        <f t="shared" si="86"/>
        <v>fast delivery</v>
      </c>
      <c r="Y301" t="str">
        <f t="shared" si="87"/>
        <v>Fast Delivery</v>
      </c>
      <c r="AA301" t="e">
        <f t="shared" si="88"/>
        <v>#VALUE!</v>
      </c>
      <c r="AB301" t="e">
        <f t="shared" si="89"/>
        <v>#VALUE!</v>
      </c>
    </row>
  </sheetData>
  <mergeCells count="11">
    <mergeCell ref="AD22:AE22"/>
    <mergeCell ref="AD23:AE23"/>
    <mergeCell ref="AC3:AE4"/>
    <mergeCell ref="AC14:AE14"/>
    <mergeCell ref="AD15:AE15"/>
    <mergeCell ref="AD16:AE16"/>
    <mergeCell ref="AD17:AE17"/>
    <mergeCell ref="AD18:AE18"/>
    <mergeCell ref="AD19:AE19"/>
    <mergeCell ref="AD20:AE20"/>
    <mergeCell ref="AD21:A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Deepraj Singh</cp:lastModifiedBy>
  <dcterms:created xsi:type="dcterms:W3CDTF">2026-06-19T06:26:00Z</dcterms:created>
  <dcterms:modified xsi:type="dcterms:W3CDTF">2026-08-10T07:29:52Z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56AC2D5F4E10416383D0AA46410823D0_12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